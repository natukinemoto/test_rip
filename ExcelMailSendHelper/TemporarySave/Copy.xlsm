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1720" yWindow="-120" windowWidth="21840" windowHeight="13740" tabRatio="639" firstSheet="1" activeTab="2" autoFilterDateGrouping="1"/>
  </bookViews>
  <sheets>
    <sheet name="Sheet1" sheetId="1" state="hidden" r:id="rId1"/>
    <sheet name="作成方法" sheetId="2" state="visible" r:id="rId2"/>
    <sheet name="勤務表" sheetId="3" state="visible" r:id="rId3"/>
    <sheet name="休暇申請書" sheetId="4" state="visible" r:id="rId4"/>
    <sheet name="定期購入申請書" sheetId="5" state="visible" r:id="rId5"/>
    <sheet name="交通費精算" sheetId="6" state="visible" r:id="rId6"/>
    <sheet name="バス申請書" sheetId="7" state="visible" r:id="rId7"/>
    <sheet name="Data" sheetId="8" state="hidden" r:id="rId8"/>
    <sheet name="祝日リスト" sheetId="9" state="hidden" r:id="rId9"/>
    <sheet name="設定" sheetId="10" state="hidden" r:id="rId10"/>
  </sheets>
  <externalReferences>
    <externalReference r:id="rId11"/>
    <externalReference r:id="rId12"/>
    <externalReference r:id="rId13"/>
    <externalReference r:id="rId14"/>
  </externalReferences>
  <definedNames>
    <definedName name="PJTコード">[1]請求先マスタ!$B$2:$B$6</definedName>
    <definedName name="コード">[2]コード!$A$1:$B$34</definedName>
    <definedName name="データ" localSheetId="7">[3]Book2!$A$5:$K$675</definedName>
    <definedName name="データ" localSheetId="2">[4]Book2!$A$5:$K$675</definedName>
    <definedName name="データ">[4]Book2!$A$5:$K$675</definedName>
    <definedName name="交通機関リスト">設定!$B$4:$B$103</definedName>
    <definedName name="発着地リスト">設定!$D$4:$D$103</definedName>
    <definedName name="番号" localSheetId="7">[3]Book2!$A$5:$K$675</definedName>
    <definedName name="番号" localSheetId="2">[4]Book2!$A$5:$K$675</definedName>
    <definedName name="番号">[4]Book2!$A$5:$K$675</definedName>
    <definedName name="用件リスト">設定!$F$4:$F$103</definedName>
    <definedName name="_xlnm.Print_Area" localSheetId="1">'作成方法'!$A$1:$Z$143,'作成方法'!$BN$36:$CI$70</definedName>
    <definedName name="_xlnm.Print_Area" localSheetId="2">'勤務表'!$A$1:$AA$40</definedName>
    <definedName name="_xlnm.Print_Area" localSheetId="3">'休暇申請書'!$A$1:$Q$47</definedName>
    <definedName name="_xlnm.Print_Area" localSheetId="4">'定期購入申請書'!$A$1:$S$40</definedName>
    <definedName name="_xlnm.Print_Area" localSheetId="5">'交通費精算'!$A$1:$L$81</definedName>
    <definedName name="_xlnm.Print_Area" localSheetId="6">'バス申請書'!$A$1:$T$43</definedName>
  </definedNames>
  <calcPr calcId="191029" fullCalcOnLoad="1"/>
</workbook>
</file>

<file path=xl/styles.xml><?xml version="1.0" encoding="utf-8"?>
<styleSheet xmlns="http://schemas.openxmlformats.org/spreadsheetml/2006/main">
  <numFmts count="19">
    <numFmt numFmtId="164" formatCode="yyyy/mm/dd"/>
    <numFmt numFmtId="165" formatCode="&quot;¥&quot;#,##0;&quot;¥-&quot;#,##0;#"/>
    <numFmt numFmtId="166" formatCode="yyyy&quot;年&quot;m&quot;月度&quot;"/>
    <numFmt numFmtId="167" formatCode="m/dd\(aaa\)"/>
    <numFmt numFmtId="168" formatCode="&quot;¥&quot;#,##0;[Red]&quot;¥-&quot;#,##0"/>
    <numFmt numFmtId="169" formatCode="0.00_ ;[Red]\-0.00\ "/>
    <numFmt numFmtId="170" formatCode="0.00_);[Red]\(0.00\)"/>
    <numFmt numFmtId="171" formatCode="[h]:mm"/>
    <numFmt numFmtId="172" formatCode="yyyy/m/d;@"/>
    <numFmt numFmtId="173" formatCode="0_);[Red]\(0\)"/>
    <numFmt numFmtId="174" formatCode="m/d;@"/>
    <numFmt numFmtId="175" formatCode="yyyy&quot;年&quot;mm&quot;月&quot;dd&quot;日&quot;\ aaa&quot;曜日&quot;"/>
    <numFmt numFmtId="176" formatCode="##&quot;　 日&quot;&quot;間&quot;"/>
    <numFmt numFmtId="177" formatCode="yyyy&quot;年&quot;mm&quot;月&quot;dd&quot;日&quot;"/>
    <numFmt numFmtId="178" formatCode="&quot;稼働日数：&quot;#"/>
    <numFmt numFmtId="179" formatCode="yyyy&quot;年&quot;mm&quot;月&quot;dd&quot;日&quot;aaa&quot;曜日&quot;"/>
    <numFmt numFmtId="180" formatCode="yyyy&quot;年  &quot;mm&quot;月  &quot;dd&quot;日  &quot;aaa&quot;曜日&quot;"/>
    <numFmt numFmtId="181" formatCode="yyyy&quot;年  &quot;mm&quot;月  &quot;dd&quot;日  &quot;\ aaa&quot;曜日&quot;"/>
    <numFmt numFmtId="182" formatCode="yyyy&quot;年&quot;m&quot;月&quot;&quot;度業務立替交通費&quot;"/>
  </numFmts>
  <fonts count="51">
    <font>
      <name val="ＭＳ Ｐゴシック"/>
      <charset val="128"/>
      <family val="3"/>
      <sz val="11"/>
    </font>
    <font>
      <name val="ＭＳ Ｐゴシック"/>
      <charset val="128"/>
      <family val="3"/>
      <b val="1"/>
      <sz val="11"/>
    </font>
    <font>
      <name val="ＭＳ Ｐゴシック"/>
      <charset val="128"/>
      <family val="3"/>
      <b val="1"/>
      <sz val="18"/>
    </font>
    <font>
      <name val="ＭＳ Ｐゴシック"/>
      <charset val="128"/>
      <family val="3"/>
      <b val="1"/>
      <sz val="12"/>
    </font>
    <font>
      <name val="HGP明朝B"/>
      <charset val="128"/>
      <family val="1"/>
      <b val="1"/>
      <color indexed="21"/>
      <sz val="20"/>
    </font>
    <font>
      <name val="HGP明朝B"/>
      <charset val="128"/>
      <family val="1"/>
      <b val="1"/>
      <color indexed="12"/>
      <sz val="20"/>
    </font>
    <font>
      <name val="ＭＳ Ｐゴシック"/>
      <charset val="128"/>
      <family val="3"/>
      <color indexed="10"/>
      <sz val="11"/>
    </font>
    <font>
      <name val="ＭＳ Ｐゴシック"/>
      <charset val="128"/>
      <family val="3"/>
      <sz val="12"/>
    </font>
    <font>
      <name val="ＭＳ Ｐゴシック"/>
      <charset val="128"/>
      <family val="3"/>
      <b val="1"/>
      <sz val="16"/>
    </font>
    <font>
      <name val="ＭＳ Ｐゴシック"/>
      <charset val="128"/>
      <family val="3"/>
      <b val="1"/>
      <sz val="14"/>
    </font>
    <font>
      <name val="Times New Roman"/>
      <family val="1"/>
      <sz val="11"/>
    </font>
    <font>
      <name val="ＭＳ Ｐゴシック"/>
      <charset val="128"/>
      <family val="3"/>
      <sz val="10"/>
    </font>
    <font>
      <name val="ＭＳ Ｐゴシック"/>
      <charset val="128"/>
      <family val="3"/>
      <sz val="11"/>
    </font>
    <font>
      <name val="ＭＳ Ｐゴシック"/>
      <charset val="128"/>
      <family val="3"/>
      <sz val="6"/>
    </font>
    <font>
      <name val="ＭＳ Ｐゴシック"/>
      <charset val="128"/>
      <family val="3"/>
      <sz val="12"/>
    </font>
    <font>
      <name val="ＭＳ Ｐゴシック"/>
      <charset val="128"/>
      <family val="3"/>
      <color rgb="FF000000"/>
      <sz val="11"/>
    </font>
    <font>
      <name val="ＭＳ Ｐゴシック"/>
      <charset val="128"/>
      <family val="3"/>
      <sz val="10.5"/>
    </font>
    <font>
      <name val="ＭＳ Ｐゴシック"/>
      <charset val="128"/>
      <family val="3"/>
      <b val="1"/>
      <color rgb="FFFF0000"/>
      <sz val="11"/>
    </font>
    <font>
      <name val="ＭＳ Ｐゴシック"/>
      <charset val="128"/>
      <family val="3"/>
      <sz val="9"/>
    </font>
    <font>
      <name val="ＭＳ Ｐゴシック"/>
      <charset val="128"/>
      <family val="3"/>
      <b val="1"/>
      <sz val="9"/>
    </font>
    <font>
      <name val="ＭＳ Ｐゴシック"/>
      <charset val="128"/>
      <family val="3"/>
      <sz val="14"/>
    </font>
    <font>
      <name val="ＭＳ Ｐゴシック"/>
      <charset val="128"/>
      <family val="3"/>
      <color theme="1"/>
      <sz val="11"/>
      <scheme val="minor"/>
    </font>
    <font>
      <name val="Arial"/>
      <family val="2"/>
      <color rgb="FF000000"/>
      <sz val="11"/>
    </font>
    <font>
      <name val="Arial"/>
      <family val="2"/>
      <color theme="1"/>
      <sz val="10"/>
    </font>
    <font>
      <name val="Arial"/>
      <family val="2"/>
      <b val="1"/>
      <color rgb="FF000000"/>
      <sz val="11"/>
    </font>
    <font>
      <name val="ＭＳ Ｐゴシック"/>
      <charset val="128"/>
      <family val="3"/>
      <b val="1"/>
      <sz val="22"/>
    </font>
    <font>
      <name val="ＭＳ Ｐゴシック"/>
      <charset val="128"/>
      <family val="3"/>
      <b val="1"/>
      <sz val="14"/>
      <u val="single"/>
    </font>
    <font>
      <name val="ＭＳ Ｐゴシック"/>
      <charset val="128"/>
      <family val="3"/>
      <sz val="12"/>
      <u val="single"/>
    </font>
    <font>
      <name val="ＭＳ Ｐゴシック"/>
      <charset val="128"/>
      <family val="3"/>
      <sz val="22"/>
    </font>
    <font>
      <name val="ＭＳ Ｐゴシック"/>
      <charset val="128"/>
      <family val="3"/>
      <color theme="1"/>
      <sz val="11"/>
    </font>
    <font>
      <name val="ＭＳ Ｐゴシック"/>
      <charset val="128"/>
      <family val="3"/>
      <sz val="16"/>
    </font>
    <font>
      <name val="ＭＳ Ｐゴシック"/>
      <charset val="128"/>
      <family val="3"/>
      <b val="1"/>
      <sz val="20"/>
    </font>
    <font>
      <name val="ＭＳ Ｐゴシック"/>
      <charset val="128"/>
      <family val="3"/>
      <color theme="1"/>
      <sz val="12"/>
    </font>
    <font>
      <name val="ＭＳ Ｐゴシック"/>
      <charset val="128"/>
      <family val="3"/>
      <color indexed="8"/>
      <sz val="11"/>
    </font>
    <font>
      <name val="ＭＳ Ｐゴシック"/>
      <charset val="128"/>
      <family val="3"/>
      <b val="1"/>
      <color indexed="8"/>
      <sz val="26"/>
    </font>
    <font>
      <name val="ＭＳ Ｐゴシック"/>
      <charset val="128"/>
      <family val="3"/>
      <b val="1"/>
      <color indexed="8"/>
      <sz val="22"/>
    </font>
    <font>
      <name val="ＭＳ Ｐゴシック"/>
      <charset val="128"/>
      <family val="3"/>
      <b val="1"/>
      <color indexed="8"/>
      <sz val="14"/>
    </font>
    <font>
      <name val="ＭＳ Ｐゴシック"/>
      <charset val="128"/>
      <family val="3"/>
      <color indexed="8"/>
      <sz val="12"/>
    </font>
    <font>
      <name val="ＭＳ Ｐゴシック"/>
      <charset val="128"/>
      <family val="3"/>
      <b val="1"/>
      <color indexed="8"/>
      <sz val="14"/>
      <u val="single"/>
    </font>
    <font>
      <name val="ＭＳ Ｐゴシック"/>
      <charset val="128"/>
      <family val="3"/>
      <color indexed="8"/>
      <sz val="12"/>
      <u val="single"/>
    </font>
    <font>
      <name val="ＭＳ Ｐゴシック"/>
      <charset val="128"/>
      <family val="3"/>
      <b val="1"/>
      <color indexed="8"/>
      <sz val="11"/>
    </font>
    <font>
      <name val="ＭＳ Ｐゴシック"/>
      <charset val="128"/>
      <family val="3"/>
      <b val="1"/>
      <color indexed="8"/>
      <sz val="12"/>
    </font>
    <font>
      <name val="ＭＳ Ｐゴシック"/>
      <charset val="128"/>
      <family val="3"/>
      <color indexed="8"/>
      <sz val="16"/>
    </font>
    <font>
      <name val="ＭＳ Ｐゴシック"/>
      <charset val="128"/>
      <family val="3"/>
      <color rgb="FFFF0000"/>
      <sz val="12"/>
    </font>
    <font>
      <name val="ＭＳ Ｐゴシック"/>
      <charset val="128"/>
      <family val="3"/>
      <b val="1"/>
      <color rgb="FFFF0000"/>
      <sz val="12"/>
    </font>
    <font>
      <name val="ＭＳ Ｐゴシック"/>
      <charset val="128"/>
      <family val="3"/>
      <b val="1"/>
      <sz val="28"/>
    </font>
    <font>
      <name val="ＭＳ ゴシック"/>
      <charset val="128"/>
      <family val="3"/>
      <color rgb="FF000000"/>
      <sz val="11"/>
    </font>
    <font>
      <name val="HGP創英角ﾎﾟｯﾌﾟ体"/>
      <charset val="128"/>
      <family val="3"/>
      <b val="1"/>
      <color rgb="FF000000"/>
      <sz val="16"/>
    </font>
    <font>
      <name val="ＭＳ Ｐゴシック"/>
      <charset val="128"/>
      <family val="3"/>
      <color theme="10"/>
      <sz val="11"/>
      <u val="single"/>
    </font>
    <font>
      <name val="ＭＳ Ｐゴシック"/>
      <charset val="128"/>
      <family val="3"/>
      <b val="1"/>
      <color rgb="FFFF0000"/>
      <sz val="14"/>
    </font>
    <font>
      <name val="ＭＳ Ｐゴシック"/>
      <charset val="128"/>
      <family val="3"/>
      <sz val="11.5"/>
    </font>
  </fonts>
  <fills count="18">
    <fill>
      <patternFill/>
    </fill>
    <fill>
      <patternFill patternType="gray125"/>
    </fill>
    <fill>
      <patternFill patternType="solid">
        <fgColor indexed="43"/>
        <bgColor indexed="26"/>
      </patternFill>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27"/>
        <bgColor indexed="41"/>
      </patternFill>
    </fill>
    <fill>
      <patternFill patternType="solid">
        <fgColor indexed="42"/>
        <bgColor indexed="27"/>
      </patternFill>
    </fill>
    <fill>
      <patternFill patternType="solid">
        <fgColor rgb="FFFFC000"/>
        <bgColor indexed="64"/>
      </patternFill>
    </fill>
    <fill>
      <patternFill patternType="solid">
        <fgColor rgb="FFCCFFFF"/>
        <bgColor indexed="64"/>
      </patternFill>
    </fill>
    <fill>
      <patternFill patternType="solid">
        <fgColor rgb="FF4EE257"/>
        <bgColor indexed="64"/>
      </patternFill>
    </fill>
    <fill>
      <patternFill patternType="solid">
        <fgColor theme="0"/>
        <bgColor indexed="64"/>
      </patternFill>
    </fill>
    <fill>
      <patternFill patternType="solid">
        <fgColor theme="0"/>
        <bgColor indexed="26"/>
      </patternFill>
    </fill>
    <fill>
      <patternFill patternType="solid">
        <fgColor rgb="FFFFFFFF"/>
        <bgColor rgb="FFFFFFFF"/>
      </patternFill>
    </fill>
    <fill>
      <patternFill patternType="solid">
        <fgColor theme="4" tint="0.7999816888943144"/>
        <bgColor indexed="64"/>
      </patternFill>
    </fill>
    <fill>
      <patternFill patternType="solid">
        <fgColor theme="5" tint="0.5999938962981048"/>
        <bgColor indexed="64"/>
      </patternFill>
    </fill>
    <fill>
      <patternFill patternType="solid">
        <fgColor theme="0" tint="-0.249977111117893"/>
        <bgColor indexed="64"/>
      </patternFill>
    </fill>
    <fill>
      <patternFill patternType="solid">
        <fgColor theme="4" tint="0.5999938962981048"/>
        <bgColor indexed="64"/>
      </patternFill>
    </fill>
  </fills>
  <borders count="219">
    <border>
      <left/>
      <right/>
      <top/>
      <bottom/>
      <diagonal/>
    </border>
    <border>
      <left/>
      <right/>
      <top/>
      <bottom style="medium">
        <color indexed="8"/>
      </bottom>
      <diagonal/>
    </border>
    <border>
      <left/>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hair">
        <color indexed="8"/>
      </bottom>
      <diagonal/>
    </border>
    <border>
      <left style="thin">
        <color indexed="8"/>
      </left>
      <right style="thin">
        <color indexed="8"/>
      </right>
      <top style="hair">
        <color indexed="8"/>
      </top>
      <bottom style="hair">
        <color indexed="8"/>
      </bottom>
      <diagonal/>
    </border>
    <border>
      <left style="thin">
        <color indexed="8"/>
      </left>
      <right style="thin">
        <color indexed="8"/>
      </right>
      <top style="hair">
        <color indexed="8"/>
      </top>
      <bottom style="thin">
        <color indexed="8"/>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style="medium">
        <color indexed="8"/>
      </left>
      <right/>
      <top style="hair">
        <color indexed="8"/>
      </top>
      <bottom/>
      <diagonal/>
    </border>
    <border>
      <left style="thin">
        <color indexed="8"/>
      </left>
      <right style="thin">
        <color indexed="8"/>
      </right>
      <top style="hair">
        <color indexed="8"/>
      </top>
      <bottom/>
      <diagonal/>
    </border>
    <border>
      <left/>
      <right style="hair">
        <color indexed="8"/>
      </right>
      <top style="hair">
        <color indexed="8"/>
      </top>
      <bottom style="hair">
        <color indexed="8"/>
      </bottom>
      <diagonal/>
    </border>
    <border>
      <left style="thin">
        <color indexed="8"/>
      </left>
      <right style="medium">
        <color indexed="8"/>
      </right>
      <top style="hair">
        <color indexed="8"/>
      </top>
      <bottom style="hair">
        <color indexed="8"/>
      </bottom>
      <diagonal/>
    </border>
    <border>
      <left style="medium">
        <color indexed="8"/>
      </left>
      <right style="thin">
        <color indexed="8"/>
      </right>
      <top style="hair">
        <color indexed="8"/>
      </top>
      <bottom style="hair">
        <color indexed="8"/>
      </bottom>
      <diagonal/>
    </border>
    <border>
      <left/>
      <right style="thin">
        <color indexed="8"/>
      </right>
      <top style="hair">
        <color indexed="8"/>
      </top>
      <bottom style="hair">
        <color indexed="8"/>
      </bottom>
      <diagonal/>
    </border>
    <border>
      <left/>
      <right/>
      <top/>
      <bottom style="hair">
        <color indexed="8"/>
      </bottom>
      <diagonal/>
    </border>
    <border>
      <left/>
      <right/>
      <top style="hair">
        <color indexed="8"/>
      </top>
      <bottom/>
      <diagonal/>
    </border>
    <border>
      <left style="hair">
        <color indexed="8"/>
      </left>
      <right style="hair">
        <color indexed="8"/>
      </right>
      <top style="hair">
        <color indexed="8"/>
      </top>
      <bottom style="hair">
        <color indexed="8"/>
      </bottom>
      <diagonal/>
    </border>
    <border>
      <left style="medium">
        <color indexed="8"/>
      </left>
      <right style="thin">
        <color indexed="8"/>
      </right>
      <top style="medium">
        <color indexed="8"/>
      </top>
      <bottom style="medium">
        <color indexed="8"/>
      </bottom>
      <diagonal/>
    </border>
    <border>
      <left style="hair">
        <color indexed="8"/>
      </left>
      <right style="medium">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hair">
        <color indexed="8"/>
      </right>
      <top style="medium">
        <color indexed="8"/>
      </top>
      <bottom style="medium">
        <color indexed="8"/>
      </bottom>
      <diagonal/>
    </border>
    <border>
      <left style="hair">
        <color indexed="8"/>
      </left>
      <right style="thin">
        <color indexed="8"/>
      </right>
      <top style="hair">
        <color indexed="8"/>
      </top>
      <bottom style="hair">
        <color indexed="8"/>
      </bottom>
      <diagonal/>
    </border>
    <border>
      <left/>
      <right/>
      <top/>
      <bottom style="double">
        <color indexed="8"/>
      </bottom>
      <diagonal/>
    </border>
    <border>
      <left style="medium">
        <color indexed="8"/>
      </left>
      <right style="medium">
        <color indexed="8"/>
      </right>
      <top style="medium">
        <color indexed="8"/>
      </top>
      <bottom style="hair">
        <color indexed="8"/>
      </bottom>
      <diagonal/>
    </border>
    <border>
      <left/>
      <right style="thin">
        <color rgb="FF000000"/>
      </right>
      <top style="hair">
        <color rgb="FF000000"/>
      </top>
      <bottom style="hair">
        <color rgb="FF000000"/>
      </bottom>
      <diagonal/>
    </border>
    <border>
      <left style="thin">
        <color rgb="FF000000"/>
      </left>
      <right style="thin">
        <color rgb="FF000000"/>
      </right>
      <top style="hair">
        <color rgb="FF000000"/>
      </top>
      <bottom style="hair">
        <color rgb="FF000000"/>
      </bottom>
      <diagonal/>
    </border>
    <border>
      <left/>
      <right style="medium">
        <color rgb="FF000000"/>
      </right>
      <top style="hair">
        <color rgb="FF000000"/>
      </top>
      <bottom style="hair">
        <color rgb="FF000000"/>
      </bottom>
      <diagonal/>
    </border>
    <border>
      <left/>
      <right style="thin">
        <color rgb="FF000000"/>
      </right>
      <top/>
      <bottom style="hair">
        <color rgb="FF000000"/>
      </bottom>
      <diagonal/>
    </border>
    <border>
      <left style="thin">
        <color rgb="FF000000"/>
      </left>
      <right style="thin">
        <color rgb="FF000000"/>
      </right>
      <top/>
      <bottom style="hair">
        <color rgb="FF000000"/>
      </bottom>
      <diagonal/>
    </border>
    <border>
      <left/>
      <right style="medium">
        <color rgb="FF000000"/>
      </right>
      <top/>
      <bottom style="hair">
        <color rgb="FF000000"/>
      </bottom>
      <diagonal/>
    </border>
    <border>
      <left style="thin">
        <color rgb="FF000000"/>
      </left>
      <right/>
      <top style="hair">
        <color rgb="FF000000"/>
      </top>
      <bottom style="hair">
        <color rgb="FF000000"/>
      </bottom>
      <diagonal/>
    </border>
    <border>
      <left/>
      <right style="thin">
        <color rgb="FF000000"/>
      </right>
      <top style="hair">
        <color indexed="8"/>
      </top>
      <bottom style="hair">
        <color indexed="8"/>
      </bottom>
      <diagonal/>
    </border>
    <border>
      <left style="thin">
        <color rgb="FF000000"/>
      </left>
      <right/>
      <top style="hair">
        <color indexed="8"/>
      </top>
      <bottom style="hair">
        <color indexed="8"/>
      </bottom>
      <diagonal/>
    </border>
    <border>
      <left style="thin">
        <color indexed="8"/>
      </left>
      <right/>
      <top style="hair">
        <color indexed="8"/>
      </top>
      <bottom style="hair">
        <color rgb="FF000000"/>
      </bottom>
      <diagonal/>
    </border>
    <border>
      <left/>
      <right style="thin">
        <color rgb="FF000000"/>
      </right>
      <top style="hair">
        <color indexed="8"/>
      </top>
      <bottom style="hair">
        <color rgb="FF000000"/>
      </bottom>
      <diagonal/>
    </border>
    <border>
      <left style="thin">
        <color indexed="8"/>
      </left>
      <right/>
      <top style="hair">
        <color rgb="FF000000"/>
      </top>
      <bottom style="hair">
        <color rgb="FF000000"/>
      </bottom>
      <diagonal/>
    </border>
    <border>
      <left style="thin">
        <color indexed="8"/>
      </left>
      <right/>
      <top style="hair">
        <color rgb="FF000000"/>
      </top>
      <bottom style="hair">
        <color indexed="8"/>
      </bottom>
      <diagonal/>
    </border>
    <border>
      <left/>
      <right style="thin">
        <color rgb="FF000000"/>
      </right>
      <top style="hair">
        <color rgb="FF000000"/>
      </top>
      <bottom style="hair">
        <color indexed="8"/>
      </bottom>
      <diagonal/>
    </border>
    <border>
      <left/>
      <right/>
      <top style="medium">
        <color auto="1"/>
      </top>
      <bottom/>
      <diagonal/>
    </border>
    <border>
      <left/>
      <right/>
      <top style="thin">
        <color auto="1"/>
      </top>
      <bottom/>
      <diagonal/>
    </border>
    <border>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auto="1"/>
      </left>
      <right style="hair">
        <color auto="1"/>
      </right>
      <top/>
      <bottom style="thin">
        <color auto="1"/>
      </bottom>
      <diagonal/>
    </border>
    <border>
      <left style="hair">
        <color auto="1"/>
      </left>
      <right style="thin">
        <color auto="1"/>
      </right>
      <top style="thin">
        <color auto="1"/>
      </top>
      <bottom style="thin">
        <color auto="1"/>
      </bottom>
      <diagonal/>
    </border>
    <border>
      <left style="thin">
        <color auto="1"/>
      </left>
      <right/>
      <top/>
      <bottom style="thin">
        <color auto="1"/>
      </bottom>
      <diagonal/>
    </border>
    <border>
      <left/>
      <right style="medium">
        <color auto="1"/>
      </right>
      <top/>
      <bottom style="hair">
        <color auto="1"/>
      </bottom>
      <diagonal/>
    </border>
    <border>
      <left/>
      <right/>
      <top/>
      <bottom style="hair">
        <color auto="1"/>
      </bottom>
      <diagonal/>
    </border>
    <border>
      <left style="thin">
        <color auto="1"/>
      </left>
      <right/>
      <top/>
      <bottom style="hair">
        <color auto="1"/>
      </bottom>
      <diagonal/>
    </border>
    <border>
      <left style="thin">
        <color auto="1"/>
      </left>
      <right style="thin">
        <color auto="1"/>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diagonal/>
    </border>
    <border>
      <left style="medium">
        <color auto="1"/>
      </left>
      <right style="thin">
        <color auto="1"/>
      </right>
      <top style="hair">
        <color auto="1"/>
      </top>
      <bottom style="hair">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hair">
        <color auto="1"/>
      </left>
      <right style="thin">
        <color auto="1"/>
      </right>
      <top/>
      <bottom style="thin">
        <color auto="1"/>
      </bottom>
      <diagonal/>
    </border>
    <border>
      <left style="thin">
        <color auto="1"/>
      </left>
      <right style="hair">
        <color auto="1"/>
      </right>
      <top style="medium">
        <color auto="1"/>
      </top>
      <bottom style="medium">
        <color auto="1"/>
      </bottom>
      <diagonal/>
    </border>
    <border>
      <left style="hair">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auto="1"/>
      </left>
      <right/>
      <top style="thin">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right/>
      <top/>
      <bottom style="double">
        <color auto="1"/>
      </bottom>
      <diagonal/>
    </border>
    <border>
      <left style="medium">
        <color auto="1"/>
      </left>
      <right style="medium">
        <color auto="1"/>
      </right>
      <top style="medium">
        <color auto="1"/>
      </top>
      <bottom style="thin">
        <color auto="1"/>
      </bottom>
      <diagonal/>
    </border>
    <border>
      <left style="medium">
        <color indexed="8"/>
      </left>
      <right/>
      <top style="medium">
        <color indexed="8"/>
      </top>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style="medium">
        <color indexed="8"/>
      </bottom>
      <diagonal/>
    </border>
    <border>
      <left style="medium">
        <color indexed="8"/>
      </left>
      <right/>
      <top/>
      <bottom/>
      <diagonal/>
    </border>
    <border>
      <left/>
      <right/>
      <top/>
      <bottom style="thin">
        <color indexed="8"/>
      </bottom>
      <diagonal/>
    </border>
    <border>
      <left/>
      <right/>
      <top style="thin">
        <color indexed="8"/>
      </top>
      <bottom style="thin">
        <color indexed="8"/>
      </bottom>
      <diagonal/>
    </border>
    <border>
      <left/>
      <right style="medium">
        <color indexed="8"/>
      </right>
      <top/>
      <bottom/>
      <diagonal/>
    </border>
    <border>
      <left style="medium">
        <color indexed="8"/>
      </left>
      <right style="medium">
        <color indexed="8"/>
      </right>
      <top style="medium">
        <color indexed="8"/>
      </top>
      <bottom/>
      <diagonal/>
    </border>
    <border>
      <left style="medium">
        <color indexed="8"/>
      </left>
      <right/>
      <top style="medium">
        <color indexed="8"/>
      </top>
      <bottom style="medium">
        <color indexed="8"/>
      </bottom>
      <diagonal/>
    </border>
    <border>
      <left/>
      <right style="medium">
        <color indexed="8"/>
      </right>
      <top style="medium">
        <color indexed="8"/>
      </top>
      <bottom/>
      <diagonal/>
    </border>
    <border>
      <left style="medium">
        <color indexed="8"/>
      </left>
      <right/>
      <top/>
      <bottom style="medium">
        <color indexed="8"/>
      </bottom>
      <diagonal/>
    </border>
    <border>
      <left/>
      <right style="medium">
        <color indexed="8"/>
      </right>
      <top/>
      <bottom style="medium">
        <color indexed="8"/>
      </bottom>
      <diagonal/>
    </border>
    <border>
      <left/>
      <right/>
      <top style="medium">
        <color indexed="8"/>
      </top>
      <bottom/>
      <diagonal/>
    </border>
    <border>
      <left/>
      <right/>
      <top/>
      <bottom style="thin">
        <color indexed="64"/>
      </bottom>
      <diagonal/>
    </border>
    <border>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64"/>
      </left>
      <right style="hair">
        <color indexed="8"/>
      </right>
      <top style="medium">
        <color indexed="64"/>
      </top>
      <bottom style="hair">
        <color indexed="8"/>
      </bottom>
      <diagonal/>
    </border>
    <border>
      <left style="hair">
        <color indexed="8"/>
      </left>
      <right style="hair">
        <color indexed="8"/>
      </right>
      <top style="medium">
        <color indexed="64"/>
      </top>
      <bottom style="hair">
        <color indexed="8"/>
      </bottom>
      <diagonal/>
    </border>
    <border>
      <left style="hair">
        <color indexed="8"/>
      </left>
      <right/>
      <top style="medium">
        <color indexed="64"/>
      </top>
      <bottom style="hair">
        <color indexed="8"/>
      </bottom>
      <diagonal/>
    </border>
    <border>
      <left/>
      <right/>
      <top style="thin">
        <color indexed="64"/>
      </top>
      <bottom style="thin">
        <color indexed="64"/>
      </bottom>
      <diagonal/>
    </border>
    <border>
      <left style="medium">
        <color indexed="64"/>
      </left>
      <right style="hair">
        <color indexed="8"/>
      </right>
      <top style="hair">
        <color indexed="8"/>
      </top>
      <bottom style="hair">
        <color indexed="8"/>
      </bottom>
      <diagonal/>
    </border>
    <border>
      <left style="hair">
        <color indexed="8"/>
      </left>
      <right/>
      <top style="hair">
        <color indexed="8"/>
      </top>
      <bottom style="hair">
        <color indexed="8"/>
      </bottom>
      <diagonal/>
    </border>
    <border>
      <left style="medium">
        <color indexed="64"/>
      </left>
      <right style="hair">
        <color indexed="8"/>
      </right>
      <top style="hair">
        <color indexed="8"/>
      </top>
      <bottom style="medium">
        <color indexed="64"/>
      </bottom>
      <diagonal/>
    </border>
    <border>
      <left style="hair">
        <color indexed="8"/>
      </left>
      <right style="hair">
        <color indexed="8"/>
      </right>
      <top style="hair">
        <color indexed="8"/>
      </top>
      <bottom style="medium">
        <color indexed="64"/>
      </bottom>
      <diagonal/>
    </border>
    <border>
      <left style="hair">
        <color indexed="8"/>
      </left>
      <right/>
      <top style="hair">
        <color indexed="8"/>
      </top>
      <bottom style="medium">
        <color indexed="64"/>
      </bottom>
      <diagonal/>
    </border>
    <border>
      <left style="hair">
        <color indexed="8"/>
      </left>
      <right style="medium">
        <color indexed="64"/>
      </right>
      <top style="medium">
        <color indexed="64"/>
      </top>
      <bottom style="medium">
        <color indexed="64"/>
      </bottom>
      <diagonal/>
    </border>
    <border>
      <left/>
      <right/>
      <top style="medium">
        <color indexed="64"/>
      </top>
      <bottom style="medium">
        <color indexed="64"/>
      </bottom>
      <diagonal/>
    </border>
    <border>
      <left style="hair">
        <color indexed="8"/>
      </left>
      <right style="medium">
        <color indexed="64"/>
      </right>
      <top style="medium">
        <color indexed="64"/>
      </top>
      <bottom style="hair">
        <color indexed="8"/>
      </bottom>
      <diagonal/>
    </border>
    <border>
      <left style="hair">
        <color indexed="8"/>
      </left>
      <right style="medium">
        <color indexed="64"/>
      </right>
      <top style="hair">
        <color indexed="8"/>
      </top>
      <bottom style="hair">
        <color indexed="8"/>
      </bottom>
      <diagonal/>
    </border>
    <border>
      <left style="hair">
        <color indexed="8"/>
      </left>
      <right style="medium">
        <color indexed="64"/>
      </right>
      <top style="hair">
        <color indexed="8"/>
      </top>
      <bottom style="medium">
        <color indexed="64"/>
      </bottom>
      <diagonal/>
    </border>
    <border>
      <left style="hair">
        <color indexed="8"/>
      </left>
      <right style="medium">
        <color indexed="64"/>
      </right>
      <top/>
      <bottom style="hair">
        <color indexed="8"/>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8"/>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style="medium">
        <color auto="1"/>
      </right>
      <top style="medium">
        <color auto="1"/>
      </top>
      <bottom style="medium">
        <color indexed="64"/>
      </bottom>
      <diagonal/>
    </border>
    <border>
      <left style="medium">
        <color auto="1"/>
      </left>
      <right style="thin">
        <color auto="1"/>
      </right>
      <top style="hair">
        <color auto="1"/>
      </top>
      <bottom/>
      <diagonal/>
    </border>
    <border>
      <left style="thin">
        <color auto="1"/>
      </left>
      <right/>
      <top/>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8"/>
      </left>
      <right style="medium">
        <color indexed="8"/>
      </right>
      <top style="medium">
        <color indexed="64"/>
      </top>
      <bottom style="medium">
        <color indexed="8"/>
      </bottom>
      <diagonal/>
    </border>
    <border>
      <left/>
      <right style="medium">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medium">
        <color indexed="8"/>
      </right>
      <top/>
      <bottom style="medium">
        <color indexed="8"/>
      </bottom>
      <diagonal/>
    </border>
    <border>
      <left style="medium">
        <color indexed="8"/>
      </left>
      <right style="medium">
        <color indexed="8"/>
      </right>
      <top/>
      <bottom style="medium">
        <color indexed="8"/>
      </bottom>
      <diagonal/>
    </border>
    <border>
      <left style="medium">
        <color indexed="8"/>
      </left>
      <right/>
      <top/>
      <bottom style="medium">
        <color indexed="8"/>
      </bottom>
      <diagonal/>
    </border>
    <border>
      <left style="medium">
        <color indexed="64"/>
      </left>
      <right/>
      <top/>
      <bottom/>
      <diagonal/>
    </border>
    <border>
      <left/>
      <right style="medium">
        <color indexed="64"/>
      </right>
      <top/>
      <bottom style="medium">
        <color indexed="64"/>
      </bottom>
      <diagonal/>
    </border>
    <border>
      <left/>
      <right style="medium">
        <color indexed="64"/>
      </right>
      <top style="medium">
        <color indexed="64"/>
      </top>
      <bottom/>
      <diagonal/>
    </border>
    <border>
      <left/>
      <right/>
      <top style="thin">
        <color indexed="8"/>
      </top>
      <bottom style="thin">
        <color indexed="64"/>
      </bottom>
      <diagonal/>
    </border>
    <border>
      <left style="medium">
        <color indexed="64"/>
      </left>
      <right style="medium">
        <color indexed="64"/>
      </right>
      <top/>
      <bottom style="medium">
        <color indexed="8"/>
      </bottom>
      <diagonal/>
    </border>
    <border>
      <left style="medium">
        <color indexed="64"/>
      </left>
      <right style="medium">
        <color indexed="64"/>
      </right>
      <top/>
      <bottom style="medium">
        <color indexed="64"/>
      </bottom>
      <diagonal/>
    </border>
    <border>
      <left/>
      <right style="medium">
        <color indexed="8"/>
      </right>
      <top style="medium">
        <color indexed="64"/>
      </top>
      <bottom style="medium">
        <color indexed="64"/>
      </bottom>
      <diagonal/>
    </border>
    <border>
      <left style="medium">
        <color indexed="8"/>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64"/>
      </left>
      <right/>
      <top style="medium">
        <color indexed="64"/>
      </top>
      <bottom style="hair">
        <color indexed="8"/>
      </bottom>
      <diagonal/>
    </border>
    <border>
      <left/>
      <right/>
      <top style="medium">
        <color indexed="64"/>
      </top>
      <bottom style="hair">
        <color indexed="8"/>
      </bottom>
      <diagonal/>
    </border>
    <border>
      <left/>
      <right style="medium">
        <color indexed="64"/>
      </right>
      <top style="medium">
        <color indexed="64"/>
      </top>
      <bottom style="hair">
        <color indexed="8"/>
      </bottom>
      <diagonal/>
    </border>
    <border>
      <left style="medium">
        <color indexed="64"/>
      </left>
      <right/>
      <top style="hair">
        <color indexed="8"/>
      </top>
      <bottom style="medium">
        <color indexed="64"/>
      </bottom>
      <diagonal/>
    </border>
    <border>
      <left/>
      <right/>
      <top style="hair">
        <color indexed="8"/>
      </top>
      <bottom style="medium">
        <color indexed="64"/>
      </bottom>
      <diagonal/>
    </border>
    <border>
      <left/>
      <right style="medium">
        <color indexed="64"/>
      </right>
      <top style="hair">
        <color indexed="8"/>
      </top>
      <bottom style="medium">
        <color indexed="64"/>
      </bottom>
      <diagonal/>
    </border>
    <border>
      <left style="medium">
        <color indexed="64"/>
      </left>
      <right style="medium">
        <color indexed="64"/>
      </right>
      <top style="medium">
        <color indexed="64"/>
      </top>
      <bottom style="hair">
        <color indexed="8"/>
      </bottom>
      <diagonal/>
    </border>
    <border>
      <left style="medium">
        <color indexed="64"/>
      </left>
      <right style="medium">
        <color indexed="64"/>
      </right>
      <top style="hair">
        <color indexed="8"/>
      </top>
      <bottom style="hair">
        <color indexed="8"/>
      </bottom>
      <diagonal/>
    </border>
    <border>
      <left style="medium">
        <color indexed="64"/>
      </left>
      <right style="medium">
        <color indexed="64"/>
      </right>
      <top style="hair">
        <color indexed="8"/>
      </top>
      <bottom style="medium">
        <color indexed="64"/>
      </bottom>
      <diagonal/>
    </border>
    <border>
      <left style="medium">
        <color indexed="64"/>
      </left>
      <right style="hair">
        <color indexed="8"/>
      </right>
      <top style="medium">
        <color indexed="64"/>
      </top>
      <bottom style="medium">
        <color indexed="64"/>
      </bottom>
      <diagonal/>
    </border>
    <border>
      <left style="medium">
        <color indexed="64"/>
      </left>
      <right style="hair">
        <color indexed="8"/>
      </right>
      <top/>
      <bottom style="hair">
        <color indexed="8"/>
      </bottom>
      <diagonal/>
    </border>
    <border>
      <left style="medium">
        <color indexed="64"/>
      </left>
      <right/>
      <top/>
      <bottom style="dotted">
        <color theme="0" tint="-0.1499679555650502"/>
      </bottom>
      <diagonal/>
    </border>
    <border>
      <left/>
      <right/>
      <top/>
      <bottom style="dotted">
        <color theme="0" tint="-0.1499679555650502"/>
      </bottom>
      <diagonal/>
    </border>
    <border>
      <left/>
      <right style="medium">
        <color indexed="64"/>
      </right>
      <top/>
      <bottom style="dotted">
        <color theme="0" tint="-0.149967955565050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top style="dotted">
        <color theme="0" tint="-0.1499679555650502"/>
      </top>
      <bottom/>
      <diagonal/>
    </border>
    <border>
      <left/>
      <right/>
      <top style="dotted">
        <color theme="0" tint="-0.1499679555650502"/>
      </top>
      <bottom/>
      <diagonal/>
    </border>
    <border>
      <left/>
      <right style="medium">
        <color indexed="64"/>
      </right>
      <top style="dotted">
        <color theme="0" tint="-0.1499679555650502"/>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style="medium">
        <color indexed="64"/>
      </bottom>
      <diagonal/>
    </border>
    <border>
      <left/>
      <right/>
      <top/>
      <bottom style="medium">
        <color theme="0"/>
      </bottom>
      <diagonal/>
    </border>
    <border>
      <left style="medium">
        <color indexed="64"/>
      </left>
      <right/>
      <top/>
      <bottom style="medium">
        <color theme="0"/>
      </bottom>
      <diagonal/>
    </border>
    <border>
      <left/>
      <right style="medium">
        <color indexed="64"/>
      </right>
      <top/>
      <bottom style="medium">
        <color theme="0"/>
      </bottom>
      <diagonal/>
    </border>
    <border>
      <left/>
      <right/>
      <top style="thin">
        <color auto="1"/>
      </top>
      <bottom style="thin">
        <color auto="1"/>
      </bottom>
      <diagonal/>
    </border>
    <border>
      <left style="thin">
        <color auto="1"/>
      </left>
      <right style="medium">
        <color auto="1"/>
      </right>
      <top/>
      <bottom style="hair">
        <color auto="1"/>
      </bottom>
      <diagonal/>
    </border>
    <border>
      <left/>
      <right style="medium">
        <color auto="1"/>
      </right>
      <top/>
      <bottom/>
      <diagonal/>
    </border>
    <border>
      <left style="thin">
        <color auto="1"/>
      </left>
      <right style="medium">
        <color auto="1"/>
      </right>
      <top style="medium">
        <color indexed="64"/>
      </top>
      <bottom style="medium">
        <color indexed="64"/>
      </bottom>
      <diagonal/>
    </border>
    <border>
      <left/>
      <right style="medium">
        <color auto="1"/>
      </right>
      <top style="medium">
        <color indexed="64"/>
      </top>
      <bottom/>
      <diagonal/>
    </border>
    <border>
      <left/>
      <right style="medium">
        <color auto="1"/>
      </right>
      <top style="medium">
        <color indexed="64"/>
      </top>
      <bottom style="medium">
        <color indexed="64"/>
      </bottom>
      <diagonal/>
    </border>
    <border>
      <left style="medium">
        <color indexed="64"/>
      </left>
      <right style="medium">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right style="medium">
        <color indexed="8"/>
      </right>
      <top style="medium">
        <color indexed="64"/>
      </top>
      <bottom/>
      <diagonal/>
    </border>
    <border>
      <left style="medium">
        <color indexed="64"/>
      </left>
      <right/>
      <top/>
      <bottom style="medium">
        <color indexed="8"/>
      </bottom>
      <diagonal/>
    </border>
    <border>
      <left style="medium">
        <color indexed="8"/>
      </left>
      <right style="medium">
        <color indexed="64"/>
      </right>
      <top/>
      <bottom/>
      <diagonal/>
    </border>
    <border>
      <left style="medium">
        <color indexed="64"/>
      </left>
      <right style="medium">
        <color indexed="64"/>
      </right>
      <top/>
      <bottom/>
      <diagonal/>
    </border>
    <border>
      <left/>
      <right style="medium">
        <color indexed="64"/>
      </right>
      <top style="hair">
        <color indexed="8"/>
      </top>
      <bottom/>
      <diagonal/>
    </border>
    <border>
      <left/>
      <right/>
      <top style="medium">
        <color indexed="8"/>
      </top>
      <bottom style="hair">
        <color indexed="8"/>
      </bottom>
      <diagonal/>
    </border>
    <border>
      <left/>
      <right style="medium">
        <color indexed="8"/>
      </right>
      <top style="medium">
        <color indexed="8"/>
      </top>
      <bottom style="hair">
        <color indexed="8"/>
      </bottom>
      <diagonal/>
    </border>
    <border>
      <left/>
      <right style="thin">
        <color indexed="8"/>
      </right>
      <top style="hair">
        <color indexed="8"/>
      </top>
      <bottom/>
      <diagonal/>
    </border>
    <border>
      <left/>
      <right style="hair">
        <color indexed="8"/>
      </right>
      <top style="hair">
        <color indexed="8"/>
      </top>
      <bottom/>
      <diagonal/>
    </border>
    <border>
      <left/>
      <right/>
      <top style="hair">
        <color indexed="8"/>
      </top>
      <bottom style="hair">
        <color indexed="8"/>
      </bottom>
      <diagonal/>
    </border>
    <border>
      <left/>
      <right/>
      <top style="hair">
        <color rgb="FF000000"/>
      </top>
      <bottom/>
      <diagonal/>
    </border>
    <border>
      <left/>
      <right style="thin">
        <color rgb="FF000000"/>
      </right>
      <top style="hair">
        <color rgb="FF000000"/>
      </top>
      <bottom/>
      <diagonal/>
    </border>
    <border>
      <left style="thin">
        <color indexed="8"/>
      </left>
      <right style="thin">
        <color rgb="FF000000"/>
      </right>
      <top style="hair">
        <color indexed="8"/>
      </top>
      <bottom style="hair">
        <color rgb="FF000000"/>
      </bottom>
      <diagonal/>
    </border>
    <border>
      <left/>
      <right style="thin">
        <color rgb="FF000000"/>
      </right>
      <top style="hair">
        <color indexed="8"/>
      </top>
      <bottom/>
      <diagonal/>
    </border>
    <border>
      <left style="thin">
        <color indexed="8"/>
      </left>
      <right style="thin">
        <color rgb="FF000000"/>
      </right>
      <top style="hair">
        <color rgb="FF000000"/>
      </top>
      <bottom style="hair">
        <color rgb="FF000000"/>
      </bottom>
      <diagonal/>
    </border>
    <border>
      <left style="thin">
        <color indexed="8"/>
      </left>
      <right style="thin">
        <color rgb="FF000000"/>
      </right>
      <top style="hair">
        <color rgb="FF000000"/>
      </top>
      <bottom style="hair">
        <color indexed="8"/>
      </bottom>
      <diagonal/>
    </border>
    <border>
      <left style="thin">
        <color rgb="FF000000"/>
      </left>
      <right style="thin">
        <color rgb="FF000000"/>
      </right>
      <top style="hair">
        <color indexed="8"/>
      </top>
      <bottom style="hair">
        <color indexed="8"/>
      </bottom>
      <diagonal/>
    </border>
    <border>
      <left style="medium">
        <color indexed="8"/>
      </left>
      <right style="thin">
        <color indexed="8"/>
      </right>
      <top/>
      <bottom/>
      <diagonal/>
    </border>
    <border>
      <left style="medium">
        <color indexed="8"/>
      </left>
      <right style="thin">
        <color indexed="8"/>
      </right>
      <top/>
      <bottom style="medium">
        <color indexed="8"/>
      </bottom>
      <diagonal/>
    </border>
    <border>
      <left style="thin">
        <color indexed="8"/>
      </left>
      <right/>
      <top/>
      <bottom/>
      <diagonal/>
    </border>
    <border>
      <left style="thin">
        <color indexed="8"/>
      </left>
      <right/>
      <top/>
      <bottom style="medium">
        <color indexed="8"/>
      </bottom>
      <diagonal/>
    </border>
    <border>
      <left/>
      <right style="hair">
        <color indexed="8"/>
      </right>
      <top style="medium">
        <color indexed="8"/>
      </top>
      <bottom/>
      <diagonal/>
    </border>
    <border>
      <left/>
      <right style="hair">
        <color indexed="8"/>
      </right>
      <top/>
      <bottom/>
      <diagonal/>
    </border>
    <border>
      <left/>
      <right style="hair">
        <color indexed="8"/>
      </right>
      <top/>
      <bottom style="medium">
        <color indexed="8"/>
      </bottom>
      <diagonal/>
    </border>
    <border>
      <left style="hair">
        <color indexed="8"/>
      </left>
      <right/>
      <top/>
      <bottom/>
      <diagonal/>
    </border>
    <border>
      <left style="hair">
        <color indexed="8"/>
      </left>
      <right style="medium">
        <color indexed="8"/>
      </right>
      <top/>
      <bottom/>
      <diagonal/>
    </border>
    <border>
      <left style="hair">
        <color indexed="8"/>
      </left>
      <right style="medium">
        <color indexed="8"/>
      </right>
      <top/>
      <bottom style="medium">
        <color indexed="8"/>
      </bottom>
      <diagonal/>
    </border>
    <border>
      <left style="medium">
        <color indexed="64"/>
      </left>
      <right style="medium">
        <color indexed="64"/>
      </right>
      <top style="dotted">
        <color theme="0" tint="-0.1499679555650502"/>
      </top>
      <bottom style="medium">
        <color indexed="64"/>
      </bottom>
      <diagonal/>
    </border>
    <border>
      <left/>
      <right style="hair">
        <color indexed="8"/>
      </right>
      <top style="medium">
        <color indexed="64"/>
      </top>
      <bottom/>
      <diagonal/>
    </border>
    <border>
      <left style="medium">
        <color indexed="64"/>
      </left>
      <right/>
      <top/>
      <bottom style="hair">
        <color indexed="8"/>
      </bottom>
      <diagonal/>
    </border>
    <border>
      <left/>
      <right style="hair">
        <color indexed="8"/>
      </right>
      <top/>
      <bottom style="hair">
        <color indexed="8"/>
      </bottom>
      <diagonal/>
    </border>
    <border>
      <left style="medium">
        <color indexed="64"/>
      </left>
      <right style="medium">
        <color indexed="64"/>
      </right>
      <top/>
      <bottom style="hair">
        <color indexed="8"/>
      </bottom>
      <diagonal/>
    </border>
    <border>
      <left/>
      <right style="hair">
        <color indexed="8"/>
      </right>
      <top style="medium">
        <color indexed="64"/>
      </top>
      <bottom style="medium">
        <color indexed="64"/>
      </bottom>
      <diagonal/>
    </border>
  </borders>
  <cellStyleXfs count="10">
    <xf numFmtId="0" fontId="12" fillId="0" borderId="0" applyAlignment="1">
      <alignment vertical="center"/>
    </xf>
    <xf numFmtId="38" fontId="12" fillId="0" borderId="0" applyAlignment="1">
      <alignment vertical="center"/>
    </xf>
    <xf numFmtId="0" fontId="12" fillId="0" borderId="0"/>
    <xf numFmtId="0" fontId="12" fillId="0" borderId="0"/>
    <xf numFmtId="0" fontId="12" fillId="0" borderId="0"/>
    <xf numFmtId="0" fontId="21" fillId="0" borderId="0" applyAlignment="1">
      <alignment vertical="center"/>
    </xf>
    <xf numFmtId="0" fontId="12" fillId="0" borderId="0"/>
    <xf numFmtId="0" fontId="12" fillId="0" borderId="0"/>
    <xf numFmtId="0" fontId="33" fillId="0" borderId="0"/>
    <xf numFmtId="0" fontId="48" fillId="0" borderId="0" applyAlignment="1">
      <alignment vertical="center"/>
    </xf>
  </cellStyleXfs>
  <cellXfs count="831">
    <xf numFmtId="0" fontId="0" fillId="0" borderId="0" applyAlignment="1" pivotButton="0" quotePrefix="0" xfId="0">
      <alignment vertical="center"/>
    </xf>
    <xf numFmtId="0" fontId="1" fillId="0" borderId="1" applyAlignment="1" pivotButton="0" quotePrefix="0" xfId="0">
      <alignment vertical="center"/>
    </xf>
    <xf numFmtId="0" fontId="0" fillId="0" borderId="1" applyAlignment="1" pivotButton="0" quotePrefix="0" xfId="0">
      <alignment vertical="center"/>
    </xf>
    <xf numFmtId="0" fontId="1" fillId="0" borderId="2" applyAlignment="1" pivotButton="0" quotePrefix="0" xfId="0">
      <alignment vertical="center"/>
    </xf>
    <xf numFmtId="0" fontId="0" fillId="0" borderId="2" applyAlignment="1" pivotButton="0" quotePrefix="0" xfId="0">
      <alignment vertical="center"/>
    </xf>
    <xf numFmtId="0" fontId="1" fillId="2" borderId="3" applyAlignment="1" pivotButton="0" quotePrefix="0" xfId="3">
      <alignment horizontal="center" vertical="center"/>
    </xf>
    <xf numFmtId="0" fontId="1" fillId="2" borderId="4" applyAlignment="1" pivotButton="0" quotePrefix="0" xfId="3">
      <alignment horizontal="center" vertical="center"/>
    </xf>
    <xf numFmtId="0" fontId="1" fillId="2" borderId="3" applyAlignment="1" pivotButton="0" quotePrefix="0" xfId="0">
      <alignment horizontal="center" vertical="center"/>
    </xf>
    <xf numFmtId="164" fontId="12" fillId="0" borderId="5" applyAlignment="1" applyProtection="1" pivotButton="0" quotePrefix="0" xfId="3">
      <alignment horizontal="center" vertical="center"/>
      <protection locked="0" hidden="0"/>
    </xf>
    <xf numFmtId="0" fontId="12" fillId="0" borderId="5" applyAlignment="1" applyProtection="1" pivotButton="0" quotePrefix="0" xfId="3">
      <alignment vertical="center"/>
      <protection locked="0" hidden="0"/>
    </xf>
    <xf numFmtId="0" fontId="0" fillId="0" borderId="5" applyAlignment="1" applyProtection="1" pivotButton="0" quotePrefix="0" xfId="0">
      <alignment vertical="center"/>
      <protection locked="0" hidden="0"/>
    </xf>
    <xf numFmtId="0" fontId="0" fillId="0" borderId="5" applyAlignment="1" applyProtection="1" pivotButton="0" quotePrefix="0" xfId="3">
      <alignment horizontal="center" vertical="center"/>
      <protection locked="0" hidden="0"/>
    </xf>
    <xf numFmtId="38" fontId="0" fillId="0" borderId="5" applyAlignment="1" applyProtection="1" pivotButton="0" quotePrefix="0" xfId="1">
      <alignment vertical="center"/>
      <protection locked="0" hidden="0"/>
    </xf>
    <xf numFmtId="164" fontId="12" fillId="0" borderId="6" applyAlignment="1" applyProtection="1" pivotButton="0" quotePrefix="0" xfId="3">
      <alignment vertical="center"/>
      <protection locked="0" hidden="0"/>
    </xf>
    <xf numFmtId="0" fontId="12" fillId="0" borderId="6" applyAlignment="1" applyProtection="1" pivotButton="0" quotePrefix="0" xfId="3">
      <alignment vertical="center"/>
      <protection locked="0" hidden="0"/>
    </xf>
    <xf numFmtId="0" fontId="0" fillId="0" borderId="6" applyAlignment="1" applyProtection="1" pivotButton="0" quotePrefix="0" xfId="0">
      <alignment vertical="center"/>
      <protection locked="0" hidden="0"/>
    </xf>
    <xf numFmtId="38" fontId="0" fillId="0" borderId="6" applyAlignment="1" applyProtection="1" pivotButton="0" quotePrefix="0" xfId="1">
      <alignment vertical="center"/>
      <protection locked="0" hidden="0"/>
    </xf>
    <xf numFmtId="164" fontId="12" fillId="0" borderId="6" applyAlignment="1" applyProtection="1" pivotButton="0" quotePrefix="0" xfId="3">
      <alignment horizontal="center" vertical="center"/>
      <protection locked="0" hidden="0"/>
    </xf>
    <xf numFmtId="164" fontId="12" fillId="0" borderId="7" applyAlignment="1" applyProtection="1" pivotButton="0" quotePrefix="0" xfId="3">
      <alignment horizontal="center" vertical="center"/>
      <protection locked="0" hidden="0"/>
    </xf>
    <xf numFmtId="0" fontId="12" fillId="0" borderId="7" applyAlignment="1" applyProtection="1" pivotButton="0" quotePrefix="0" xfId="3">
      <alignment vertical="center"/>
      <protection locked="0" hidden="0"/>
    </xf>
    <xf numFmtId="0" fontId="0" fillId="0" borderId="7" applyAlignment="1" applyProtection="1" pivotButton="0" quotePrefix="0" xfId="0">
      <alignment vertical="center"/>
      <protection locked="0" hidden="0"/>
    </xf>
    <xf numFmtId="38" fontId="0" fillId="0" borderId="7" applyAlignment="1" applyProtection="1" pivotButton="0" quotePrefix="0" xfId="1">
      <alignment vertical="center"/>
      <protection locked="0" hidden="0"/>
    </xf>
    <xf numFmtId="0" fontId="12" fillId="0" borderId="8" applyAlignment="1" applyProtection="1" pivotButton="0" quotePrefix="0" xfId="3">
      <alignment vertical="center" wrapText="1"/>
      <protection locked="0" hidden="0"/>
    </xf>
    <xf numFmtId="0" fontId="12" fillId="0" borderId="9" applyAlignment="1" applyProtection="1" pivotButton="0" quotePrefix="0" xfId="3">
      <alignment vertical="center" wrapText="1"/>
      <protection locked="0" hidden="0"/>
    </xf>
    <xf numFmtId="0" fontId="12" fillId="0" borderId="10" applyAlignment="1" applyProtection="1" pivotButton="0" quotePrefix="0" xfId="3">
      <alignment vertical="center" wrapText="1"/>
      <protection locked="0" hidden="0"/>
    </xf>
    <xf numFmtId="165" fontId="1" fillId="0" borderId="3" applyAlignment="1" pivotButton="0" quotePrefix="0" xfId="3">
      <alignment vertical="center"/>
    </xf>
    <xf numFmtId="0" fontId="12" fillId="0" borderId="0" applyAlignment="1" applyProtection="1" pivotButton="0" quotePrefix="0" xfId="3">
      <alignment vertical="center" wrapText="1"/>
      <protection locked="0" hidden="0"/>
    </xf>
    <xf numFmtId="38" fontId="0" fillId="0" borderId="0" applyAlignment="1" pivotButton="0" quotePrefix="0" xfId="0">
      <alignment vertical="center"/>
    </xf>
    <xf numFmtId="0" fontId="0" fillId="3" borderId="5" applyProtection="1" pivotButton="0" quotePrefix="0" xfId="2">
      <protection locked="0" hidden="0"/>
    </xf>
    <xf numFmtId="0" fontId="0" fillId="3" borderId="6" applyProtection="1" pivotButton="0" quotePrefix="0" xfId="2">
      <protection locked="0" hidden="0"/>
    </xf>
    <xf numFmtId="0" fontId="12" fillId="4" borderId="0" pivotButton="0" quotePrefix="0" xfId="2"/>
    <xf numFmtId="0" fontId="3" fillId="4" borderId="0" pivotButton="0" quotePrefix="0" xfId="2"/>
    <xf numFmtId="0" fontId="0" fillId="5" borderId="3" pivotButton="0" quotePrefix="0" xfId="2"/>
    <xf numFmtId="0" fontId="12" fillId="3" borderId="7" applyProtection="1" pivotButton="0" quotePrefix="0" xfId="2">
      <protection locked="0" hidden="0"/>
    </xf>
    <xf numFmtId="0" fontId="12" fillId="0" borderId="0" applyAlignment="1" pivotButton="0" quotePrefix="0" xfId="4">
      <alignment horizontal="left" vertical="center"/>
    </xf>
    <xf numFmtId="0" fontId="12" fillId="0" borderId="0" applyAlignment="1" pivotButton="0" quotePrefix="0" xfId="4">
      <alignment horizontal="center" vertical="center"/>
    </xf>
    <xf numFmtId="0" fontId="3" fillId="0" borderId="0" applyAlignment="1" pivotButton="0" quotePrefix="0" xfId="4">
      <alignment vertical="center"/>
    </xf>
    <xf numFmtId="166" fontId="5" fillId="0" borderId="0" applyAlignment="1" pivotButton="0" quotePrefix="0" xfId="4">
      <alignment horizontal="right" vertical="center"/>
    </xf>
    <xf numFmtId="166" fontId="6" fillId="0" borderId="0" applyAlignment="1" pivotButton="0" quotePrefix="0" xfId="4">
      <alignment horizontal="center" vertical="center"/>
    </xf>
    <xf numFmtId="166" fontId="5" fillId="0" borderId="0" applyAlignment="1" pivotButton="0" quotePrefix="0" xfId="4">
      <alignment vertical="center"/>
    </xf>
    <xf numFmtId="0" fontId="7" fillId="0" borderId="0" applyAlignment="1" pivotButton="0" quotePrefix="0" xfId="4">
      <alignment horizontal="center" vertical="center"/>
    </xf>
    <xf numFmtId="0" fontId="7" fillId="0" borderId="0" applyAlignment="1" pivotButton="0" quotePrefix="0" xfId="0">
      <alignment horizontal="center" vertical="center"/>
    </xf>
    <xf numFmtId="0" fontId="3" fillId="0" borderId="0" applyAlignment="1" pivotButton="0" quotePrefix="0" xfId="0">
      <alignment vertical="center"/>
    </xf>
    <xf numFmtId="0" fontId="8" fillId="0" borderId="0" applyAlignment="1" pivotButton="0" quotePrefix="0" xfId="4">
      <alignment horizontal="center" vertical="center"/>
    </xf>
    <xf numFmtId="0" fontId="8" fillId="0" borderId="0" applyAlignment="1" pivotButton="0" quotePrefix="0" xfId="4">
      <alignment vertical="center"/>
    </xf>
    <xf numFmtId="0" fontId="1" fillId="0" borderId="0" applyAlignment="1" pivotButton="0" quotePrefix="0" xfId="4">
      <alignment horizontal="left" vertical="center"/>
    </xf>
    <xf numFmtId="0" fontId="1" fillId="0" borderId="0" applyAlignment="1" pivotButton="0" quotePrefix="0" xfId="4">
      <alignment horizontal="center" vertical="center"/>
    </xf>
    <xf numFmtId="0" fontId="0" fillId="0" borderId="0" applyAlignment="1" pivotButton="0" quotePrefix="0" xfId="4">
      <alignment horizontal="center" vertical="center"/>
    </xf>
    <xf numFmtId="167" fontId="0" fillId="0" borderId="15" applyAlignment="1" applyProtection="1" pivotButton="0" quotePrefix="0" xfId="4">
      <alignment horizontal="center" vertical="center"/>
      <protection locked="0" hidden="0"/>
    </xf>
    <xf numFmtId="0" fontId="0" fillId="0" borderId="6" applyAlignment="1" applyProtection="1" pivotButton="0" quotePrefix="0" xfId="4">
      <alignment horizontal="center" vertical="center"/>
      <protection locked="0" hidden="0"/>
    </xf>
    <xf numFmtId="168" fontId="0" fillId="0" borderId="16" applyAlignment="1" applyProtection="1" pivotButton="0" quotePrefix="0" xfId="1">
      <alignment vertical="center"/>
      <protection locked="0" hidden="0"/>
    </xf>
    <xf numFmtId="0" fontId="0" fillId="0" borderId="14" applyAlignment="1" applyProtection="1" pivotButton="0" quotePrefix="0" xfId="4">
      <alignment horizontal="center" vertical="center"/>
      <protection locked="0" hidden="0"/>
    </xf>
    <xf numFmtId="0" fontId="0" fillId="0" borderId="0" applyAlignment="1" pivotButton="0" quotePrefix="0" xfId="4">
      <alignment horizontal="left" vertical="center"/>
    </xf>
    <xf numFmtId="0" fontId="12" fillId="0" borderId="18" applyAlignment="1" pivotButton="0" quotePrefix="0" xfId="4">
      <alignment horizontal="center" vertical="center"/>
    </xf>
    <xf numFmtId="168" fontId="0" fillId="0" borderId="18" applyAlignment="1" pivotButton="0" quotePrefix="0" xfId="1">
      <alignment vertical="center"/>
    </xf>
    <xf numFmtId="168" fontId="0" fillId="0" borderId="0" applyAlignment="1" pivotButton="0" quotePrefix="0" xfId="1">
      <alignment vertical="center"/>
    </xf>
    <xf numFmtId="0" fontId="11" fillId="2" borderId="19" applyAlignment="1" pivotButton="0" quotePrefix="0" xfId="4">
      <alignment horizontal="center" vertical="center"/>
    </xf>
    <xf numFmtId="168" fontId="0" fillId="0" borderId="27" applyAlignment="1" applyProtection="1" pivotButton="0" quotePrefix="0" xfId="0">
      <alignment vertical="center"/>
      <protection locked="0" hidden="0"/>
    </xf>
    <xf numFmtId="0" fontId="0" fillId="0" borderId="28" applyAlignment="1" applyProtection="1" pivotButton="0" quotePrefix="0" xfId="0">
      <alignment horizontal="center" vertical="center"/>
      <protection locked="0" hidden="0"/>
    </xf>
    <xf numFmtId="0" fontId="0" fillId="0" borderId="29" applyAlignment="1" applyProtection="1" pivotButton="0" quotePrefix="0" xfId="0">
      <alignment horizontal="center" vertical="center"/>
      <protection locked="0" hidden="0"/>
    </xf>
    <xf numFmtId="0" fontId="0" fillId="0" borderId="30" applyAlignment="1" applyProtection="1" pivotButton="0" quotePrefix="0" xfId="0">
      <alignment horizontal="center" vertical="center"/>
      <protection locked="0" hidden="0"/>
    </xf>
    <xf numFmtId="168" fontId="0" fillId="0" borderId="30" applyAlignment="1" applyProtection="1" pivotButton="0" quotePrefix="0" xfId="0">
      <alignment vertical="center"/>
      <protection locked="0" hidden="0"/>
    </xf>
    <xf numFmtId="0" fontId="0" fillId="0" borderId="31" applyAlignment="1" applyProtection="1" pivotButton="0" quotePrefix="0" xfId="0">
      <alignment horizontal="center" vertical="center"/>
      <protection locked="0" hidden="0"/>
    </xf>
    <xf numFmtId="0" fontId="0" fillId="0" borderId="32" applyAlignment="1" applyProtection="1" pivotButton="0" quotePrefix="0" xfId="0">
      <alignment horizontal="center" vertical="center"/>
      <protection locked="0" hidden="0"/>
    </xf>
    <xf numFmtId="0" fontId="0" fillId="0" borderId="42" applyAlignment="1" pivotButton="0" quotePrefix="0" xfId="0">
      <alignment vertical="center"/>
    </xf>
    <xf numFmtId="0" fontId="0" fillId="0" borderId="45" applyAlignment="1" pivotButton="0" quotePrefix="0" xfId="0">
      <alignment vertical="center"/>
    </xf>
    <xf numFmtId="169" fontId="0" fillId="0" borderId="46" applyAlignment="1" pivotButton="0" quotePrefix="0" xfId="0">
      <alignment vertical="center"/>
    </xf>
    <xf numFmtId="169" fontId="0" fillId="0" borderId="48" applyAlignment="1" pivotButton="0" quotePrefix="0" xfId="0">
      <alignment vertical="center"/>
    </xf>
    <xf numFmtId="170" fontId="17" fillId="0" borderId="52" applyAlignment="1" applyProtection="1" pivotButton="0" quotePrefix="0" xfId="0">
      <alignment horizontal="center" vertical="center"/>
      <protection locked="0" hidden="0"/>
    </xf>
    <xf numFmtId="171" fontId="3" fillId="0" borderId="53" applyAlignment="1" applyProtection="1" pivotButton="0" quotePrefix="0" xfId="0">
      <alignment vertical="center"/>
      <protection locked="0" hidden="0"/>
    </xf>
    <xf numFmtId="171" fontId="16" fillId="0" borderId="53" applyAlignment="1" applyProtection="1" pivotButton="0" quotePrefix="0" xfId="0">
      <alignment vertical="center"/>
      <protection locked="0" hidden="0"/>
    </xf>
    <xf numFmtId="169" fontId="0" fillId="0" borderId="57" applyAlignment="1" pivotButton="0" quotePrefix="0" xfId="0">
      <alignment vertical="center"/>
    </xf>
    <xf numFmtId="0" fontId="17" fillId="0" borderId="0" applyAlignment="1" pivotButton="0" quotePrefix="0" xfId="0">
      <alignment vertical="center"/>
    </xf>
    <xf numFmtId="0" fontId="0" fillId="0" borderId="45" applyAlignment="1" pivotButton="0" quotePrefix="0" xfId="0">
      <alignment horizontal="right" vertical="center"/>
    </xf>
    <xf numFmtId="169" fontId="0" fillId="0" borderId="58" applyAlignment="1" pivotButton="0" quotePrefix="0" xfId="0">
      <alignment vertical="center"/>
    </xf>
    <xf numFmtId="169" fontId="0" fillId="0" borderId="59" applyAlignment="1" pivotButton="0" quotePrefix="0" xfId="0">
      <alignment vertical="center"/>
    </xf>
    <xf numFmtId="20" fontId="17"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center" vertical="center"/>
    </xf>
    <xf numFmtId="171" fontId="0" fillId="0" borderId="43" applyAlignment="1" pivotButton="0" quotePrefix="0" xfId="0">
      <alignment vertical="center"/>
    </xf>
    <xf numFmtId="171" fontId="0" fillId="0" borderId="60" applyAlignment="1" pivotButton="0" quotePrefix="0" xfId="0">
      <alignment vertical="center"/>
    </xf>
    <xf numFmtId="171" fontId="0" fillId="0" borderId="61" applyAlignment="1" pivotButton="0" quotePrefix="0" xfId="0">
      <alignment vertical="center"/>
    </xf>
    <xf numFmtId="171" fontId="0" fillId="0" borderId="62" applyAlignment="1" pivotButton="0" quotePrefix="0" xfId="0">
      <alignment vertical="center"/>
    </xf>
    <xf numFmtId="171" fontId="0" fillId="0" borderId="63" applyAlignment="1" pivotButton="0" quotePrefix="0" xfId="0">
      <alignment vertical="center"/>
    </xf>
    <xf numFmtId="171" fontId="0" fillId="0" borderId="44" applyAlignment="1" pivotButton="0" quotePrefix="0" xfId="0">
      <alignment vertical="center"/>
    </xf>
    <xf numFmtId="0" fontId="0" fillId="0" borderId="46" applyAlignment="1" pivotButton="0" quotePrefix="0" xfId="0">
      <alignment vertical="center"/>
    </xf>
    <xf numFmtId="0" fontId="0" fillId="0" borderId="64" applyAlignment="1" pivotButton="0" quotePrefix="0" xfId="0">
      <alignment horizontal="center" vertical="center"/>
    </xf>
    <xf numFmtId="0" fontId="0" fillId="0" borderId="65" applyAlignment="1" pivotButton="0" quotePrefix="0" xfId="0">
      <alignment vertical="center"/>
    </xf>
    <xf numFmtId="0" fontId="0" fillId="0" borderId="66" applyAlignment="1" pivotButton="0" quotePrefix="0" xfId="0">
      <alignment horizontal="center" vertical="center"/>
    </xf>
    <xf numFmtId="0" fontId="0" fillId="0" borderId="46" applyAlignment="1" pivotButton="0" quotePrefix="0" xfId="0">
      <alignment horizontal="right" vertical="center"/>
    </xf>
    <xf numFmtId="0" fontId="0" fillId="0" borderId="65" applyAlignment="1" pivotButton="0" quotePrefix="0" xfId="0">
      <alignment horizontal="right" vertical="center"/>
    </xf>
    <xf numFmtId="0" fontId="21" fillId="0" borderId="0" applyAlignment="1" pivotButton="0" quotePrefix="0" xfId="5">
      <alignment vertical="center"/>
    </xf>
    <xf numFmtId="0" fontId="0" fillId="11" borderId="0" pivotButton="0" quotePrefix="0" xfId="6"/>
    <xf numFmtId="0" fontId="0" fillId="0" borderId="0" pivotButton="0" quotePrefix="0" xfId="6"/>
    <xf numFmtId="0" fontId="9" fillId="12" borderId="76" pivotButton="0" quotePrefix="0" xfId="6"/>
    <xf numFmtId="0" fontId="26" fillId="12" borderId="76" pivotButton="0" quotePrefix="0" xfId="6"/>
    <xf numFmtId="0" fontId="30" fillId="12" borderId="75" pivotButton="0" quotePrefix="0" xfId="6"/>
    <xf numFmtId="0" fontId="30" fillId="12" borderId="76" applyAlignment="1" pivotButton="0" quotePrefix="0" xfId="6">
      <alignment readingOrder="1"/>
    </xf>
    <xf numFmtId="0" fontId="0" fillId="11" borderId="0" pivotButton="0" quotePrefix="0" xfId="7"/>
    <xf numFmtId="0" fontId="0" fillId="0" borderId="0" pivotButton="0" quotePrefix="0" xfId="7"/>
    <xf numFmtId="0" fontId="0" fillId="3" borderId="0" pivotButton="0" quotePrefix="0" xfId="7"/>
    <xf numFmtId="0" fontId="9" fillId="3" borderId="76" pivotButton="0" quotePrefix="0" xfId="7"/>
    <xf numFmtId="0" fontId="0" fillId="3" borderId="77" pivotButton="0" quotePrefix="0" xfId="7"/>
    <xf numFmtId="0" fontId="7" fillId="0" borderId="0" pivotButton="0" quotePrefix="0" xfId="7"/>
    <xf numFmtId="0" fontId="0" fillId="3" borderId="80" pivotButton="0" quotePrefix="0" xfId="7"/>
    <xf numFmtId="0" fontId="0" fillId="3" borderId="0" applyAlignment="1" pivotButton="0" quotePrefix="0" xfId="7">
      <alignment horizontal="center" vertical="center"/>
    </xf>
    <xf numFmtId="0" fontId="0" fillId="3" borderId="83" pivotButton="0" quotePrefix="0" xfId="7"/>
    <xf numFmtId="0" fontId="0" fillId="0" borderId="80" pivotButton="0" quotePrefix="0" xfId="7"/>
    <xf numFmtId="0" fontId="0" fillId="3" borderId="0" applyAlignment="1" pivotButton="0" quotePrefix="0" xfId="7">
      <alignment horizontal="center"/>
    </xf>
    <xf numFmtId="0" fontId="0" fillId="3" borderId="1" pivotButton="0" quotePrefix="0" xfId="7"/>
    <xf numFmtId="0" fontId="0" fillId="3" borderId="82" pivotButton="0" quotePrefix="0" xfId="7"/>
    <xf numFmtId="0" fontId="1" fillId="3" borderId="71" applyAlignment="1" pivotButton="0" quotePrefix="0" xfId="7">
      <alignment horizontal="center"/>
    </xf>
    <xf numFmtId="0" fontId="1" fillId="3" borderId="81" applyAlignment="1" pivotButton="0" quotePrefix="0" xfId="7">
      <alignment horizontal="center"/>
    </xf>
    <xf numFmtId="0" fontId="8" fillId="3" borderId="71" applyAlignment="1" pivotButton="0" quotePrefix="0" xfId="7">
      <alignment horizontal="center"/>
    </xf>
    <xf numFmtId="0" fontId="8" fillId="3" borderId="74" applyAlignment="1" pivotButton="0" quotePrefix="0" xfId="7">
      <alignment horizontal="center"/>
    </xf>
    <xf numFmtId="0" fontId="30" fillId="3" borderId="0" applyAlignment="1" pivotButton="0" quotePrefix="0" xfId="7">
      <alignment horizontal="left"/>
    </xf>
    <xf numFmtId="0" fontId="1" fillId="3" borderId="74" pivotButton="0" quotePrefix="0" xfId="7"/>
    <xf numFmtId="0" fontId="30" fillId="3" borderId="1" applyAlignment="1" pivotButton="0" quotePrefix="0" xfId="7">
      <alignment readingOrder="1"/>
    </xf>
    <xf numFmtId="172" fontId="0" fillId="0" borderId="0" applyAlignment="1" pivotButton="0" quotePrefix="0" xfId="0">
      <alignment vertical="center"/>
    </xf>
    <xf numFmtId="14" fontId="0" fillId="0" borderId="0" applyAlignment="1" pivotButton="0" quotePrefix="0" xfId="0">
      <alignment vertical="center"/>
    </xf>
    <xf numFmtId="0" fontId="0" fillId="14" borderId="0" applyAlignment="1" pivotButton="0" quotePrefix="0" xfId="0">
      <alignment vertical="center"/>
    </xf>
    <xf numFmtId="172" fontId="0" fillId="14" borderId="0" applyAlignment="1" pivotButton="0" quotePrefix="0" xfId="0">
      <alignment vertical="center"/>
    </xf>
    <xf numFmtId="0" fontId="29" fillId="15" borderId="0" applyAlignment="1" pivotButton="0" quotePrefix="0" xfId="0">
      <alignment vertical="center"/>
    </xf>
    <xf numFmtId="0" fontId="0" fillId="15" borderId="0" applyAlignment="1" pivotButton="0" quotePrefix="0" xfId="0">
      <alignment vertical="center"/>
    </xf>
    <xf numFmtId="0" fontId="29" fillId="15" borderId="0" applyAlignment="1" pivotButton="0" quotePrefix="1" xfId="0">
      <alignment vertical="center"/>
    </xf>
    <xf numFmtId="14" fontId="0" fillId="14" borderId="0" applyAlignment="1" pivotButton="0" quotePrefix="0" xfId="0">
      <alignment vertical="center"/>
    </xf>
    <xf numFmtId="172" fontId="0" fillId="0" borderId="0" applyAlignment="1" pivotButton="0" quotePrefix="0" xfId="0">
      <alignment horizontal="right" vertical="center"/>
    </xf>
    <xf numFmtId="173" fontId="0" fillId="0" borderId="0" applyAlignment="1" pivotButton="0" quotePrefix="0" xfId="0">
      <alignment horizontal="right" vertical="center"/>
    </xf>
    <xf numFmtId="0" fontId="3" fillId="3" borderId="74" pivotButton="0" quotePrefix="0" xfId="6"/>
    <xf numFmtId="0" fontId="0" fillId="14" borderId="0" applyAlignment="1" pivotButton="0" quotePrefix="0" xfId="0">
      <alignment horizontal="right" vertical="center"/>
    </xf>
    <xf numFmtId="172" fontId="0" fillId="14" borderId="0" applyAlignment="1" pivotButton="0" quotePrefix="0" xfId="0">
      <alignment horizontal="right" vertical="center"/>
    </xf>
    <xf numFmtId="173" fontId="0" fillId="14" borderId="0" applyAlignment="1" pivotButton="0" quotePrefix="0" xfId="0">
      <alignment vertical="center"/>
    </xf>
    <xf numFmtId="0" fontId="9" fillId="11" borderId="68" applyAlignment="1" applyProtection="1" pivotButton="0" quotePrefix="0" xfId="0">
      <alignment vertical="center"/>
      <protection locked="0" hidden="0"/>
    </xf>
    <xf numFmtId="0" fontId="0" fillId="11" borderId="68" applyAlignment="1" applyProtection="1" pivotButton="0" quotePrefix="0" xfId="0">
      <alignment vertical="center" shrinkToFit="1"/>
      <protection locked="0" hidden="0"/>
    </xf>
    <xf numFmtId="0" fontId="0" fillId="11" borderId="67" applyAlignment="1" applyProtection="1" pivotButton="0" quotePrefix="0" xfId="0">
      <alignment vertical="center"/>
      <protection locked="0" hidden="0"/>
    </xf>
    <xf numFmtId="0" fontId="0" fillId="11" borderId="0" applyAlignment="1" pivotButton="0" quotePrefix="0" xfId="0">
      <alignment vertical="center"/>
    </xf>
    <xf numFmtId="0" fontId="0" fillId="11" borderId="41" applyAlignment="1" pivotButton="0" quotePrefix="0" xfId="0">
      <alignment vertical="center"/>
    </xf>
    <xf numFmtId="0" fontId="30" fillId="3" borderId="83" pivotButton="0" quotePrefix="0" xfId="7"/>
    <xf numFmtId="0" fontId="30" fillId="3" borderId="0" applyAlignment="1" pivotButton="0" quotePrefix="0" xfId="7">
      <alignment horizontal="right"/>
    </xf>
    <xf numFmtId="0" fontId="30" fillId="3" borderId="0" pivotButton="0" quotePrefix="0" xfId="7"/>
    <xf numFmtId="0" fontId="8" fillId="3" borderId="74" pivotButton="0" quotePrefix="0" xfId="7"/>
    <xf numFmtId="0" fontId="33" fillId="16" borderId="0" pivotButton="0" quotePrefix="0" xfId="8"/>
    <xf numFmtId="0" fontId="35" fillId="12" borderId="0" applyAlignment="1" pivotButton="0" quotePrefix="0" xfId="8">
      <alignment horizontal="center"/>
    </xf>
    <xf numFmtId="0" fontId="33" fillId="12" borderId="0" pivotButton="0" quotePrefix="0" xfId="8"/>
    <xf numFmtId="0" fontId="36" fillId="12" borderId="84" pivotButton="0" quotePrefix="0" xfId="8"/>
    <xf numFmtId="0" fontId="36" fillId="12" borderId="90" pivotButton="0" quotePrefix="0" xfId="8"/>
    <xf numFmtId="0" fontId="38" fillId="12" borderId="90" pivotButton="0" quotePrefix="0" xfId="8"/>
    <xf numFmtId="0" fontId="33" fillId="11" borderId="0" pivotButton="0" quotePrefix="0" xfId="8"/>
    <xf numFmtId="0" fontId="37" fillId="16" borderId="0" pivotButton="0" quotePrefix="0" xfId="8"/>
    <xf numFmtId="0" fontId="41" fillId="12" borderId="0" pivotButton="0" quotePrefix="0" xfId="8"/>
    <xf numFmtId="0" fontId="33" fillId="12" borderId="0" applyAlignment="1" pivotButton="0" quotePrefix="0" xfId="8">
      <alignment horizontal="center"/>
    </xf>
    <xf numFmtId="0" fontId="33" fillId="12" borderId="102" pivotButton="0" quotePrefix="0" xfId="8"/>
    <xf numFmtId="0" fontId="33" fillId="12" borderId="0" applyAlignment="1" pivotButton="0" quotePrefix="0" xfId="8">
      <alignment vertical="center"/>
    </xf>
    <xf numFmtId="0" fontId="33" fillId="12" borderId="104" applyAlignment="1" pivotButton="0" quotePrefix="0" xfId="8">
      <alignment vertical="center"/>
    </xf>
    <xf numFmtId="0" fontId="33" fillId="12" borderId="102" applyAlignment="1" pivotButton="0" quotePrefix="0" xfId="8">
      <alignment vertical="center"/>
    </xf>
    <xf numFmtId="0" fontId="0" fillId="0" borderId="27" applyAlignment="1" applyProtection="1" pivotButton="0" quotePrefix="0" xfId="0">
      <alignment horizontal="center" vertical="center"/>
      <protection locked="0" hidden="0"/>
    </xf>
    <xf numFmtId="168" fontId="12" fillId="0" borderId="16" applyAlignment="1" applyProtection="1" pivotButton="0" quotePrefix="0" xfId="1">
      <alignment vertical="center"/>
      <protection locked="0" hidden="0"/>
    </xf>
    <xf numFmtId="0" fontId="12" fillId="0" borderId="14" applyAlignment="1" applyProtection="1" pivotButton="0" quotePrefix="0" xfId="4">
      <alignment horizontal="center" vertical="center"/>
      <protection locked="0" hidden="0"/>
    </xf>
    <xf numFmtId="0" fontId="0" fillId="0" borderId="105" applyAlignment="1" pivotButton="0" quotePrefix="0" xfId="0">
      <alignment vertical="center"/>
    </xf>
    <xf numFmtId="0" fontId="1" fillId="11" borderId="0" applyAlignment="1" pivotButton="0" quotePrefix="0" xfId="0">
      <alignment vertical="center"/>
    </xf>
    <xf numFmtId="0" fontId="3" fillId="11" borderId="0" applyAlignment="1" pivotButton="0" quotePrefix="0" xfId="0">
      <alignment vertical="center"/>
    </xf>
    <xf numFmtId="0" fontId="9" fillId="11" borderId="0" applyAlignment="1" pivotButton="0" quotePrefix="0" xfId="0">
      <alignment vertical="center"/>
    </xf>
    <xf numFmtId="0" fontId="8" fillId="11" borderId="0" applyAlignment="1" pivotButton="0" quotePrefix="0" xfId="0">
      <alignment vertical="center"/>
    </xf>
    <xf numFmtId="0" fontId="7" fillId="11" borderId="0" applyAlignment="1" pivotButton="0" quotePrefix="0" xfId="0">
      <alignment vertical="center"/>
    </xf>
    <xf numFmtId="0" fontId="31" fillId="11" borderId="0" applyAlignment="1" pivotButton="0" quotePrefix="0" xfId="0">
      <alignment vertical="center"/>
    </xf>
    <xf numFmtId="0" fontId="20" fillId="11" borderId="0" applyAlignment="1" pivotButton="0" quotePrefix="0" xfId="0">
      <alignment vertical="center"/>
    </xf>
    <xf numFmtId="0" fontId="44" fillId="11" borderId="0" applyAlignment="1" pivotButton="0" quotePrefix="0" xfId="0">
      <alignment vertical="center"/>
    </xf>
    <xf numFmtId="0" fontId="0" fillId="11" borderId="0" applyAlignment="1" applyProtection="1" pivotButton="0" quotePrefix="0" xfId="0">
      <alignment vertical="center" shrinkToFit="1"/>
      <protection locked="0" hidden="0"/>
    </xf>
    <xf numFmtId="0" fontId="20" fillId="11" borderId="0" applyAlignment="1" applyProtection="1" pivotButton="0" quotePrefix="0" xfId="0">
      <alignment vertical="center"/>
      <protection locked="0" hidden="0"/>
    </xf>
    <xf numFmtId="174" fontId="0" fillId="0" borderId="0" applyAlignment="1" pivotButton="0" quotePrefix="0" xfId="0">
      <alignment vertical="center"/>
    </xf>
    <xf numFmtId="0" fontId="2" fillId="11" borderId="0" applyAlignment="1" applyProtection="1" pivotButton="0" quotePrefix="0" xfId="0">
      <alignment horizontal="center" vertical="center"/>
      <protection locked="0" hidden="0"/>
    </xf>
    <xf numFmtId="0" fontId="1" fillId="11" borderId="70" applyAlignment="1" applyProtection="1" pivotButton="0" quotePrefix="0" xfId="0">
      <alignment horizontal="center" vertical="center"/>
      <protection locked="0" hidden="0"/>
    </xf>
    <xf numFmtId="0" fontId="8" fillId="11" borderId="0" applyAlignment="1" applyProtection="1" pivotButton="0" quotePrefix="0" xfId="0">
      <alignment vertical="center"/>
      <protection locked="0" hidden="0"/>
    </xf>
    <xf numFmtId="0" fontId="0" fillId="11" borderId="0" applyAlignment="1" applyProtection="1" pivotButton="0" quotePrefix="0" xfId="0">
      <alignment vertical="center"/>
      <protection locked="0" hidden="0"/>
    </xf>
    <xf numFmtId="0" fontId="9" fillId="11" borderId="0" applyAlignment="1" applyProtection="1" pivotButton="0" quotePrefix="0" xfId="0">
      <alignment horizontal="right" vertical="center"/>
      <protection locked="0" hidden="0"/>
    </xf>
    <xf numFmtId="0" fontId="9" fillId="11" borderId="0" applyAlignment="1" applyProtection="1" pivotButton="0" quotePrefix="0" xfId="0">
      <alignment horizontal="center" vertical="center"/>
      <protection locked="0" hidden="0"/>
    </xf>
    <xf numFmtId="0" fontId="9" fillId="11" borderId="0" applyAlignment="1" applyProtection="1" pivotButton="0" quotePrefix="0" xfId="0">
      <alignment vertical="center"/>
      <protection locked="0" hidden="0"/>
    </xf>
    <xf numFmtId="0" fontId="0" fillId="11" borderId="0" applyAlignment="1" applyProtection="1" pivotButton="0" quotePrefix="0" xfId="0">
      <alignment horizontal="right" vertical="center"/>
      <protection locked="0" hidden="0"/>
    </xf>
    <xf numFmtId="0" fontId="12" fillId="11" borderId="0" applyAlignment="1" applyProtection="1" pivotButton="0" quotePrefix="0" xfId="0">
      <alignment horizontal="right" vertical="center"/>
      <protection locked="0" hidden="0"/>
    </xf>
    <xf numFmtId="20" fontId="0" fillId="0" borderId="105" applyAlignment="1" applyProtection="1" pivotButton="0" quotePrefix="0" xfId="0">
      <alignment vertical="center"/>
      <protection locked="0" hidden="0"/>
    </xf>
    <xf numFmtId="0" fontId="0" fillId="11" borderId="105" applyAlignment="1" applyProtection="1" pivotButton="0" quotePrefix="0" xfId="0">
      <alignment vertical="center"/>
      <protection locked="0" hidden="0"/>
    </xf>
    <xf numFmtId="171" fontId="16" fillId="0" borderId="54" applyAlignment="1" applyProtection="1" pivotButton="0" quotePrefix="0" xfId="0">
      <alignment vertical="center"/>
      <protection locked="0" hidden="0"/>
    </xf>
    <xf numFmtId="175" fontId="33" fillId="12" borderId="0" applyAlignment="1" pivotButton="0" quotePrefix="0" xfId="8">
      <alignment horizontal="center"/>
    </xf>
    <xf numFmtId="0" fontId="0" fillId="11" borderId="119" pivotButton="0" quotePrefix="0" xfId="6"/>
    <xf numFmtId="0" fontId="0" fillId="12" borderId="120" pivotButton="0" quotePrefix="0" xfId="6"/>
    <xf numFmtId="0" fontId="0" fillId="11" borderId="127" pivotButton="0" quotePrefix="0" xfId="6"/>
    <xf numFmtId="0" fontId="31" fillId="12" borderId="119" applyAlignment="1" pivotButton="0" quotePrefix="0" xfId="6">
      <alignment horizontal="center"/>
    </xf>
    <xf numFmtId="176" fontId="30" fillId="3" borderId="84" pivotButton="0" quotePrefix="0" xfId="6"/>
    <xf numFmtId="0" fontId="30" fillId="12" borderId="130" applyAlignment="1" pivotButton="0" quotePrefix="0" xfId="6">
      <alignment horizontal="left"/>
    </xf>
    <xf numFmtId="0" fontId="30" fillId="12" borderId="130" pivotButton="0" quotePrefix="0" xfId="6"/>
    <xf numFmtId="0" fontId="0" fillId="3" borderId="120" pivotButton="0" quotePrefix="0" xfId="6"/>
    <xf numFmtId="0" fontId="0" fillId="11" borderId="122" pivotButton="0" quotePrefix="0" xfId="6"/>
    <xf numFmtId="0" fontId="3" fillId="3" borderId="102" pivotButton="0" quotePrefix="0" xfId="6"/>
    <xf numFmtId="0" fontId="28" fillId="3" borderId="102" applyAlignment="1" pivotButton="0" quotePrefix="0" xfId="6">
      <alignment vertical="center"/>
    </xf>
    <xf numFmtId="0" fontId="0" fillId="3" borderId="102" pivotButton="0" quotePrefix="0" xfId="6"/>
    <xf numFmtId="0" fontId="3" fillId="3" borderId="141" pivotButton="0" quotePrefix="0" xfId="6"/>
    <xf numFmtId="0" fontId="0" fillId="12" borderId="120" applyAlignment="1" pivotButton="0" quotePrefix="0" xfId="6">
      <alignment horizontal="center"/>
    </xf>
    <xf numFmtId="0" fontId="0" fillId="11" borderId="104" pivotButton="0" quotePrefix="0" xfId="6"/>
    <xf numFmtId="0" fontId="0" fillId="12" borderId="102" pivotButton="0" quotePrefix="0" xfId="6"/>
    <xf numFmtId="0" fontId="0" fillId="12" borderId="102" applyAlignment="1" pivotButton="0" quotePrefix="0" xfId="6">
      <alignment horizontal="left" vertical="center"/>
    </xf>
    <xf numFmtId="0" fontId="0" fillId="0" borderId="0" applyAlignment="1" pivotButton="0" quotePrefix="0" xfId="6">
      <alignment vertical="center"/>
    </xf>
    <xf numFmtId="0" fontId="0" fillId="11" borderId="127" applyAlignment="1" pivotButton="0" quotePrefix="0" xfId="6">
      <alignment vertical="top"/>
    </xf>
    <xf numFmtId="0" fontId="31" fillId="3" borderId="106" applyAlignment="1" pivotButton="0" quotePrefix="0" xfId="7">
      <alignment vertical="center"/>
    </xf>
    <xf numFmtId="0" fontId="31" fillId="3" borderId="1" applyAlignment="1" pivotButton="0" quotePrefix="0" xfId="7">
      <alignment vertical="center"/>
    </xf>
    <xf numFmtId="0" fontId="9" fillId="3" borderId="83" pivotButton="0" quotePrefix="0" xfId="7"/>
    <xf numFmtId="0" fontId="25" fillId="3" borderId="0" applyAlignment="1" pivotButton="0" quotePrefix="0" xfId="7">
      <alignment horizontal="center"/>
    </xf>
    <xf numFmtId="0" fontId="0" fillId="11" borderId="106" pivotButton="0" quotePrefix="0" xfId="7"/>
    <xf numFmtId="0" fontId="0" fillId="3" borderId="106" pivotButton="0" quotePrefix="0" xfId="7"/>
    <xf numFmtId="0" fontId="7" fillId="3" borderId="0" applyAlignment="1" pivotButton="0" quotePrefix="0" xfId="7">
      <alignment horizontal="left"/>
    </xf>
    <xf numFmtId="0" fontId="27" fillId="3" borderId="0" applyAlignment="1" pivotButton="0" quotePrefix="0" xfId="7">
      <alignment horizontal="right"/>
    </xf>
    <xf numFmtId="20" fontId="0" fillId="11" borderId="0" pivotButton="0" quotePrefix="0" xfId="7"/>
    <xf numFmtId="20" fontId="12" fillId="0" borderId="0" applyAlignment="1" pivotButton="0" quotePrefix="0" xfId="4">
      <alignment horizontal="left" vertical="center"/>
    </xf>
    <xf numFmtId="166" fontId="4" fillId="0" borderId="0" applyAlignment="1" pivotButton="0" quotePrefix="0" xfId="4">
      <alignment horizontal="right" vertical="center"/>
    </xf>
    <xf numFmtId="0" fontId="4" fillId="0" borderId="0" applyAlignment="1" pivotButton="0" quotePrefix="0" xfId="4">
      <alignment vertical="center"/>
    </xf>
    <xf numFmtId="0" fontId="33" fillId="11" borderId="102" pivotButton="0" quotePrefix="0" xfId="8"/>
    <xf numFmtId="0" fontId="37" fillId="12" borderId="142" applyAlignment="1" pivotButton="0" quotePrefix="0" xfId="8">
      <alignment horizontal="center" vertical="center"/>
    </xf>
    <xf numFmtId="0" fontId="7" fillId="12" borderId="107" applyAlignment="1" pivotButton="0" quotePrefix="0" xfId="6">
      <alignment horizontal="center" vertical="center"/>
    </xf>
    <xf numFmtId="0" fontId="33" fillId="12" borderId="127" applyAlignment="1" pivotButton="0" quotePrefix="0" xfId="8">
      <alignment vertical="center"/>
    </xf>
    <xf numFmtId="0" fontId="33" fillId="12" borderId="122" pivotButton="0" quotePrefix="0" xfId="8"/>
    <xf numFmtId="0" fontId="33" fillId="12" borderId="128" pivotButton="0" quotePrefix="0" xfId="8"/>
    <xf numFmtId="0" fontId="41" fillId="12" borderId="102" pivotButton="0" quotePrefix="0" xfId="8"/>
    <xf numFmtId="0" fontId="41" fillId="12" borderId="102" applyAlignment="1" pivotButton="0" quotePrefix="0" xfId="8">
      <alignment horizontal="center"/>
    </xf>
    <xf numFmtId="0" fontId="42" fillId="12" borderId="102" applyAlignment="1" pivotButton="0" quotePrefix="0" xfId="8">
      <alignment horizontal="left"/>
    </xf>
    <xf numFmtId="0" fontId="40" fillId="12" borderId="102" applyAlignment="1" pivotButton="0" quotePrefix="0" xfId="8">
      <alignment horizontal="left"/>
    </xf>
    <xf numFmtId="0" fontId="33" fillId="16" borderId="0" applyAlignment="1" pivotButton="0" quotePrefix="0" xfId="8">
      <alignment vertical="center"/>
    </xf>
    <xf numFmtId="0" fontId="41" fillId="12" borderId="156" applyAlignment="1" pivotButton="0" quotePrefix="0" xfId="8">
      <alignment vertical="center"/>
    </xf>
    <xf numFmtId="0" fontId="41" fillId="12" borderId="157" applyAlignment="1" pivotButton="0" quotePrefix="0" xfId="8">
      <alignment vertical="center"/>
    </xf>
    <xf numFmtId="0" fontId="41" fillId="12" borderId="158" applyAlignment="1" pivotButton="0" quotePrefix="0" xfId="8">
      <alignment vertical="center"/>
    </xf>
    <xf numFmtId="0" fontId="37" fillId="12" borderId="0" applyAlignment="1" pivotButton="0" quotePrefix="0" xfId="8">
      <alignment horizontal="left"/>
    </xf>
    <xf numFmtId="0" fontId="39" fillId="12" borderId="0" applyAlignment="1" pivotButton="0" quotePrefix="0" xfId="8">
      <alignment horizontal="right"/>
    </xf>
    <xf numFmtId="0" fontId="38" fillId="12" borderId="84" pivotButton="0" quotePrefix="0" xfId="8"/>
    <xf numFmtId="0" fontId="8" fillId="11" borderId="69" applyAlignment="1" applyProtection="1" pivotButton="0" quotePrefix="0" xfId="0">
      <alignment vertical="center"/>
      <protection locked="0" hidden="0"/>
    </xf>
    <xf numFmtId="20" fontId="0" fillId="0" borderId="0" applyAlignment="1" pivotButton="0" quotePrefix="0" xfId="0">
      <alignment vertical="center"/>
    </xf>
    <xf numFmtId="46" fontId="0" fillId="0" borderId="0" applyAlignment="1" pivotButton="0" quotePrefix="0" xfId="0">
      <alignment vertical="center"/>
    </xf>
    <xf numFmtId="0" fontId="0" fillId="0" borderId="0" applyAlignment="1" pivotButton="0" quotePrefix="0" xfId="0">
      <alignment vertical="center"/>
    </xf>
    <xf numFmtId="171" fontId="0" fillId="0" borderId="0" applyAlignment="1" pivotButton="0" quotePrefix="0" xfId="0">
      <alignment vertical="center"/>
    </xf>
    <xf numFmtId="175" fontId="7" fillId="12" borderId="120" applyProtection="1" pivotButton="0" quotePrefix="0" xfId="6">
      <protection locked="0" hidden="0"/>
    </xf>
    <xf numFmtId="0" fontId="7" fillId="12" borderId="120" applyAlignment="1" applyProtection="1" pivotButton="0" quotePrefix="0" xfId="6">
      <alignment horizontal="left"/>
      <protection locked="0" hidden="0"/>
    </xf>
    <xf numFmtId="0" fontId="7" fillId="0" borderId="120" applyAlignment="1" applyProtection="1" pivotButton="0" quotePrefix="0" xfId="6">
      <alignment horizontal="left"/>
      <protection locked="0" hidden="0"/>
    </xf>
    <xf numFmtId="0" fontId="7" fillId="11" borderId="0" applyAlignment="1" applyProtection="1" pivotButton="0" quotePrefix="0" xfId="6">
      <alignment horizontal="left"/>
      <protection locked="0" hidden="0"/>
    </xf>
    <xf numFmtId="0" fontId="0" fillId="11" borderId="0" applyProtection="1" pivotButton="0" quotePrefix="0" xfId="6">
      <protection locked="0" hidden="0"/>
    </xf>
    <xf numFmtId="0" fontId="0" fillId="11" borderId="102" applyProtection="1" pivotButton="0" quotePrefix="0" xfId="6">
      <protection locked="0" hidden="0"/>
    </xf>
    <xf numFmtId="0" fontId="0" fillId="0" borderId="0" applyProtection="1" pivotButton="0" quotePrefix="0" xfId="6">
      <protection locked="0" hidden="0"/>
    </xf>
    <xf numFmtId="0" fontId="0" fillId="0" borderId="0" applyAlignment="1" applyProtection="1" pivotButton="0" quotePrefix="0" xfId="0">
      <alignment vertical="center"/>
      <protection locked="0" hidden="0"/>
    </xf>
    <xf numFmtId="0" fontId="0" fillId="14" borderId="0" applyAlignment="1" applyProtection="1" pivotButton="0" quotePrefix="0" xfId="0">
      <alignment vertical="center"/>
      <protection locked="0" hidden="0"/>
    </xf>
    <xf numFmtId="0" fontId="0" fillId="0" borderId="0" applyProtection="1" pivotButton="0" quotePrefix="0" xfId="6">
      <protection locked="1" hidden="1"/>
    </xf>
    <xf numFmtId="177" fontId="0" fillId="0" borderId="0" applyProtection="1" pivotButton="0" quotePrefix="0" xfId="6">
      <protection locked="1" hidden="1"/>
    </xf>
    <xf numFmtId="0" fontId="0" fillId="14" borderId="159" applyAlignment="1" applyProtection="1" pivotButton="0" quotePrefix="0" xfId="0">
      <alignment vertical="center"/>
      <protection locked="1" hidden="1"/>
    </xf>
    <xf numFmtId="0" fontId="0" fillId="14" borderId="105" applyAlignment="1" applyProtection="1" pivotButton="0" quotePrefix="0" xfId="0">
      <alignment vertical="center"/>
      <protection locked="1" hidden="1"/>
    </xf>
    <xf numFmtId="175" fontId="1" fillId="0" borderId="160" applyAlignment="1" applyProtection="1" pivotButton="0" quotePrefix="0" xfId="6">
      <alignment horizontal="left"/>
      <protection locked="1" hidden="1"/>
    </xf>
    <xf numFmtId="177" fontId="12" fillId="0" borderId="105" applyAlignment="1" applyProtection="1" pivotButton="0" quotePrefix="0" xfId="6">
      <alignment horizontal="left" vertical="center"/>
      <protection locked="1" hidden="1"/>
    </xf>
    <xf numFmtId="0" fontId="0" fillId="0" borderId="105" applyAlignment="1" applyProtection="1" pivotButton="0" quotePrefix="0" xfId="6">
      <alignment horizontal="left"/>
      <protection locked="1" hidden="1"/>
    </xf>
    <xf numFmtId="0" fontId="0" fillId="0" borderId="105" applyProtection="1" pivotButton="0" quotePrefix="0" xfId="6">
      <protection locked="1" hidden="1"/>
    </xf>
    <xf numFmtId="175" fontId="0" fillId="0" borderId="161" applyAlignment="1" applyProtection="1" pivotButton="0" quotePrefix="0" xfId="6">
      <alignment horizontal="left"/>
      <protection locked="1" hidden="1"/>
    </xf>
    <xf numFmtId="0" fontId="0" fillId="0" borderId="161" applyAlignment="1" applyProtection="1" pivotButton="0" quotePrefix="0" xfId="0">
      <alignment vertical="center"/>
      <protection locked="1" hidden="1"/>
    </xf>
    <xf numFmtId="0" fontId="0" fillId="14" borderId="161" applyAlignment="1" applyProtection="1" pivotButton="0" quotePrefix="0" xfId="0">
      <alignment vertical="center"/>
      <protection locked="1" hidden="1"/>
    </xf>
    <xf numFmtId="0" fontId="12" fillId="0" borderId="0" applyProtection="1" pivotButton="0" quotePrefix="0" xfId="6">
      <protection locked="1" hidden="1"/>
    </xf>
    <xf numFmtId="0" fontId="1" fillId="0" borderId="160" applyAlignment="1" applyProtection="1" pivotButton="0" quotePrefix="0" xfId="6">
      <alignment horizontal="left"/>
      <protection locked="1" hidden="1"/>
    </xf>
    <xf numFmtId="0" fontId="0" fillId="0" borderId="161" applyAlignment="1" applyProtection="1" pivotButton="0" quotePrefix="0" xfId="6">
      <alignment horizontal="center"/>
      <protection locked="1" hidden="1"/>
    </xf>
    <xf numFmtId="177" fontId="0" fillId="0" borderId="161" applyAlignment="1" applyProtection="1" pivotButton="0" quotePrefix="0" xfId="0">
      <alignment horizontal="left" vertical="center"/>
      <protection locked="1" hidden="1"/>
    </xf>
    <xf numFmtId="175" fontId="0" fillId="0" borderId="161" applyAlignment="1" applyProtection="1" pivotButton="0" quotePrefix="0" xfId="0">
      <alignment horizontal="left" vertical="center"/>
      <protection locked="1" hidden="1"/>
    </xf>
    <xf numFmtId="177" fontId="1" fillId="0" borderId="162" applyAlignment="1" applyProtection="1" pivotButton="0" quotePrefix="0" xfId="6">
      <alignment horizontal="left" vertical="center"/>
      <protection locked="1" hidden="1"/>
    </xf>
    <xf numFmtId="177" fontId="1" fillId="0" borderId="160" applyAlignment="1" applyProtection="1" pivotButton="0" quotePrefix="0" xfId="6">
      <alignment horizontal="left" vertical="center"/>
      <protection locked="1" hidden="1"/>
    </xf>
    <xf numFmtId="177" fontId="12" fillId="0" borderId="163" applyAlignment="1" applyProtection="1" pivotButton="0" quotePrefix="0" xfId="6">
      <alignment horizontal="left" vertical="center"/>
      <protection locked="1" hidden="1"/>
    </xf>
    <xf numFmtId="177" fontId="1" fillId="0" borderId="161" applyAlignment="1" applyProtection="1" pivotButton="0" quotePrefix="0" xfId="6">
      <alignment horizontal="left" vertical="center"/>
      <protection locked="1" hidden="1"/>
    </xf>
    <xf numFmtId="0" fontId="0" fillId="0" borderId="162" applyAlignment="1" applyProtection="1" pivotButton="0" quotePrefix="0" xfId="6">
      <alignment horizontal="center"/>
      <protection locked="1" hidden="1"/>
    </xf>
    <xf numFmtId="0" fontId="0" fillId="0" borderId="161" applyProtection="1" pivotButton="0" quotePrefix="0" xfId="6">
      <protection locked="1" hidden="1"/>
    </xf>
    <xf numFmtId="0" fontId="0" fillId="0" borderId="162" applyProtection="1" pivotButton="0" quotePrefix="0" xfId="6">
      <protection locked="1" hidden="1"/>
    </xf>
    <xf numFmtId="0" fontId="30" fillId="12" borderId="76" applyAlignment="1" applyProtection="1" pivotButton="0" quotePrefix="0" xfId="6">
      <alignment readingOrder="1"/>
      <protection locked="1" hidden="1"/>
    </xf>
    <xf numFmtId="171" fontId="16" fillId="0" borderId="53" applyAlignment="1" applyProtection="1" pivotButton="0" quotePrefix="0" xfId="0">
      <alignment vertical="center"/>
      <protection locked="0" hidden="1"/>
    </xf>
    <xf numFmtId="0" fontId="7" fillId="6" borderId="145" applyAlignment="1" applyProtection="1" pivotButton="0" quotePrefix="0" xfId="4">
      <alignment horizontal="center" vertical="center"/>
      <protection locked="1" hidden="1"/>
    </xf>
    <xf numFmtId="0" fontId="7" fillId="6" borderId="148" applyAlignment="1" applyProtection="1" pivotButton="0" quotePrefix="0" xfId="4">
      <alignment horizontal="center" vertical="center"/>
      <protection locked="1" hidden="1"/>
    </xf>
    <xf numFmtId="0" fontId="0" fillId="6" borderId="11" applyAlignment="1" applyProtection="1" pivotButton="0" quotePrefix="0" xfId="4">
      <alignment horizontal="center" vertical="center"/>
      <protection locked="1" hidden="1"/>
    </xf>
    <xf numFmtId="0" fontId="0" fillId="6" borderId="12" applyAlignment="1" applyProtection="1" pivotButton="0" quotePrefix="0" xfId="4">
      <alignment horizontal="center" vertical="center"/>
      <protection locked="1" hidden="1"/>
    </xf>
    <xf numFmtId="0" fontId="0" fillId="6" borderId="13" applyAlignment="1" applyProtection="1" pivotButton="0" quotePrefix="0" xfId="4">
      <alignment horizontal="center" vertical="center"/>
      <protection locked="1" hidden="1"/>
    </xf>
    <xf numFmtId="0" fontId="0" fillId="6" borderId="14" applyAlignment="1" applyProtection="1" pivotButton="0" quotePrefix="0" xfId="4">
      <alignment horizontal="center" vertical="center"/>
      <protection locked="1" hidden="1"/>
    </xf>
    <xf numFmtId="0" fontId="0" fillId="0" borderId="0" applyAlignment="1" applyProtection="1" pivotButton="0" quotePrefix="0" xfId="4">
      <alignment horizontal="left" vertical="center"/>
      <protection locked="1" hidden="1"/>
    </xf>
    <xf numFmtId="0" fontId="0" fillId="0" borderId="17" applyAlignment="1" applyProtection="1" pivotButton="0" quotePrefix="0" xfId="1">
      <alignment horizontal="center" vertical="center"/>
      <protection locked="1" hidden="1"/>
    </xf>
    <xf numFmtId="0" fontId="36" fillId="12" borderId="84" applyProtection="1" pivotButton="0" quotePrefix="0" xfId="8">
      <protection locked="1" hidden="1"/>
    </xf>
    <xf numFmtId="0" fontId="0" fillId="0" borderId="0" applyAlignment="1" applyProtection="1" pivotButton="0" quotePrefix="0" xfId="0">
      <alignment horizontal="right" vertical="center"/>
      <protection locked="1" hidden="1"/>
    </xf>
    <xf numFmtId="0" fontId="0" fillId="0" borderId="0" applyAlignment="1" applyProtection="1" pivotButton="0" quotePrefix="0" xfId="0">
      <alignment vertical="center"/>
      <protection locked="1" hidden="1"/>
    </xf>
    <xf numFmtId="174" fontId="0" fillId="0" borderId="56" applyAlignment="1" applyProtection="1" pivotButton="0" quotePrefix="0" xfId="0">
      <alignment horizontal="center" vertical="center"/>
      <protection locked="1" hidden="1"/>
    </xf>
    <xf numFmtId="0" fontId="0" fillId="0" borderId="53" applyAlignment="1" applyProtection="1" pivotButton="0" quotePrefix="0" xfId="0">
      <alignment horizontal="center" vertical="center"/>
      <protection locked="1" hidden="1"/>
    </xf>
    <xf numFmtId="169" fontId="3" fillId="0" borderId="53" applyAlignment="1" applyProtection="1" pivotButton="0" quotePrefix="0" xfId="0">
      <alignment vertical="center"/>
      <protection locked="1" hidden="1"/>
    </xf>
    <xf numFmtId="169" fontId="0" fillId="0" borderId="52" applyAlignment="1" applyProtection="1" pivotButton="0" quotePrefix="0" xfId="0">
      <alignment vertical="center"/>
      <protection locked="1" hidden="1"/>
    </xf>
    <xf numFmtId="169" fontId="0" fillId="0" borderId="116" applyAlignment="1" applyProtection="1" pivotButton="0" quotePrefix="0" xfId="0">
      <alignment vertical="center"/>
      <protection locked="1" hidden="1"/>
    </xf>
    <xf numFmtId="169" fontId="0" fillId="0" borderId="45" applyAlignment="1" applyProtection="1" pivotButton="0" quotePrefix="0" xfId="0">
      <alignment vertical="center"/>
      <protection locked="1" hidden="1"/>
    </xf>
    <xf numFmtId="0" fontId="0" fillId="0" borderId="45" applyAlignment="1" applyProtection="1" pivotButton="0" quotePrefix="0" xfId="0">
      <alignment vertical="center"/>
      <protection locked="1" hidden="1"/>
    </xf>
    <xf numFmtId="169" fontId="0" fillId="0" borderId="49" applyAlignment="1" applyProtection="1" pivotButton="0" quotePrefix="0" xfId="0">
      <alignment vertical="center"/>
      <protection locked="1" hidden="1"/>
    </xf>
    <xf numFmtId="174" fontId="0" fillId="0" borderId="115" applyAlignment="1" applyProtection="1" pivotButton="0" quotePrefix="0" xfId="0">
      <alignment horizontal="center" vertical="center"/>
      <protection locked="1" hidden="1"/>
    </xf>
    <xf numFmtId="0" fontId="0" fillId="0" borderId="55" applyAlignment="1" applyProtection="1" pivotButton="0" quotePrefix="0" xfId="0">
      <alignment horizontal="center" vertical="center"/>
      <protection locked="1" hidden="1"/>
    </xf>
    <xf numFmtId="169" fontId="0" fillId="0" borderId="47" applyAlignment="1" applyProtection="1" pivotButton="0" quotePrefix="0" xfId="0">
      <alignment vertical="center"/>
      <protection locked="1" hidden="1"/>
    </xf>
    <xf numFmtId="170" fontId="16" fillId="0" borderId="53" applyAlignment="1" applyProtection="1" pivotButton="0" quotePrefix="0" xfId="0">
      <alignment vertical="center"/>
      <protection locked="1" hidden="1"/>
    </xf>
    <xf numFmtId="170" fontId="16" fillId="0" borderId="55" applyAlignment="1" applyProtection="1" pivotButton="0" quotePrefix="0" xfId="0">
      <alignment vertical="center"/>
      <protection locked="1" hidden="1"/>
    </xf>
    <xf numFmtId="170" fontId="16" fillId="0" borderId="117" applyAlignment="1" applyProtection="1" pivotButton="0" quotePrefix="0" xfId="0">
      <alignment vertical="center"/>
      <protection locked="1" hidden="1"/>
    </xf>
    <xf numFmtId="171" fontId="3" fillId="8" borderId="117" applyAlignment="1" applyProtection="1" pivotButton="0" quotePrefix="0" xfId="0">
      <alignment vertical="center"/>
      <protection locked="1" hidden="1"/>
    </xf>
    <xf numFmtId="171" fontId="3" fillId="8" borderId="117" applyAlignment="1" applyProtection="1" pivotButton="0" quotePrefix="0" xfId="0">
      <alignment vertical="center" shrinkToFit="1"/>
      <protection locked="1" hidden="1"/>
    </xf>
    <xf numFmtId="170" fontId="3" fillId="8" borderId="117" applyAlignment="1" applyProtection="1" pivotButton="0" quotePrefix="0" xfId="0">
      <alignment vertical="center" shrinkToFit="1"/>
      <protection locked="1" hidden="1"/>
    </xf>
    <xf numFmtId="170" fontId="0" fillId="0" borderId="117" applyAlignment="1" applyProtection="1" pivotButton="0" quotePrefix="0" xfId="0">
      <alignment vertical="center" shrinkToFit="1"/>
      <protection locked="1" hidden="1"/>
    </xf>
    <xf numFmtId="0" fontId="18" fillId="0" borderId="109" applyAlignment="1" pivotButton="0" quotePrefix="0" xfId="0">
      <alignment horizontal="center" vertical="center"/>
    </xf>
    <xf numFmtId="0" fontId="18" fillId="0" borderId="109" applyAlignment="1" pivotButton="0" quotePrefix="0" xfId="0">
      <alignment horizontal="center" vertical="center" wrapText="1"/>
    </xf>
    <xf numFmtId="0" fontId="19" fillId="8" borderId="109" applyAlignment="1" pivotButton="0" quotePrefix="0" xfId="0">
      <alignment horizontal="center" vertical="center"/>
    </xf>
    <xf numFmtId="0" fontId="19" fillId="8" borderId="110" applyAlignment="1" pivotButton="0" quotePrefix="0" xfId="0">
      <alignment horizontal="center" vertical="center"/>
    </xf>
    <xf numFmtId="0" fontId="19" fillId="8" borderId="109" applyAlignment="1" pivotButton="0" quotePrefix="0" xfId="0">
      <alignment horizontal="center" vertical="center" wrapText="1"/>
    </xf>
    <xf numFmtId="0" fontId="18" fillId="0" borderId="111" applyAlignment="1" pivotButton="0" quotePrefix="0" xfId="0">
      <alignment horizontal="center" vertical="center" wrapText="1"/>
    </xf>
    <xf numFmtId="0" fontId="18" fillId="0" borderId="111" applyAlignment="1" pivotButton="0" quotePrefix="0" xfId="0">
      <alignment horizontal="center" vertical="center"/>
    </xf>
    <xf numFmtId="0" fontId="0" fillId="0" borderId="108" applyAlignment="1" applyProtection="1" pivotButton="0" quotePrefix="0" xfId="0">
      <alignment horizontal="center" vertical="center"/>
      <protection locked="1" hidden="1"/>
    </xf>
    <xf numFmtId="0" fontId="0" fillId="0" borderId="109" applyAlignment="1" applyProtection="1" pivotButton="0" quotePrefix="0" xfId="0">
      <alignment horizontal="center" vertical="center"/>
      <protection locked="1" hidden="1"/>
    </xf>
    <xf numFmtId="171" fontId="16" fillId="0" borderId="117" applyAlignment="1" applyProtection="1" pivotButton="0" quotePrefix="0" xfId="0">
      <alignment vertical="center"/>
      <protection locked="1" hidden="1"/>
    </xf>
    <xf numFmtId="0" fontId="0" fillId="0" borderId="6" applyAlignment="1" applyProtection="1" pivotButton="0" quotePrefix="0" xfId="4">
      <alignment horizontal="center" vertical="center"/>
      <protection locked="0" hidden="0"/>
    </xf>
    <xf numFmtId="175" fontId="0" fillId="11" borderId="0" applyProtection="1" pivotButton="0" quotePrefix="0" xfId="6">
      <protection locked="0" hidden="0"/>
    </xf>
    <xf numFmtId="175" fontId="0" fillId="0" borderId="0" applyProtection="1" pivotButton="0" quotePrefix="0" xfId="6">
      <protection locked="0" hidden="0"/>
    </xf>
    <xf numFmtId="0" fontId="48" fillId="0" borderId="0" applyAlignment="1" pivotButton="0" quotePrefix="0" xfId="9">
      <alignment vertical="center"/>
    </xf>
    <xf numFmtId="0" fontId="0" fillId="0" borderId="0" applyAlignment="1" pivotButton="0" quotePrefix="0" xfId="0">
      <alignment horizontal="right" vertical="center"/>
    </xf>
    <xf numFmtId="172" fontId="0" fillId="0" borderId="0" applyAlignment="1" pivotButton="0" quotePrefix="0" xfId="0">
      <alignment horizontal="right" vertical="center"/>
    </xf>
    <xf numFmtId="173" fontId="0" fillId="0" borderId="0" applyAlignment="1" pivotButton="0" quotePrefix="0" xfId="0">
      <alignment horizontal="right" vertical="center"/>
    </xf>
    <xf numFmtId="172" fontId="0" fillId="0" borderId="0" applyAlignment="1" pivotButton="0" quotePrefix="0" xfId="0">
      <alignment vertical="center"/>
    </xf>
    <xf numFmtId="0" fontId="7" fillId="12" borderId="143" applyAlignment="1" pivotButton="0" quotePrefix="0" xfId="6">
      <alignment horizontal="center" vertical="center"/>
    </xf>
    <xf numFmtId="0" fontId="0" fillId="3" borderId="102" applyAlignment="1" pivotButton="0" quotePrefix="0" xfId="6">
      <alignment horizontal="center" vertical="center"/>
    </xf>
    <xf numFmtId="0" fontId="0" fillId="11" borderId="0" applyAlignment="1" applyProtection="1" pivotButton="0" quotePrefix="0" xfId="0">
      <alignment horizontal="left" vertical="top"/>
      <protection locked="0" hidden="0"/>
    </xf>
    <xf numFmtId="0" fontId="0" fillId="11" borderId="0" applyAlignment="1" applyProtection="1" pivotButton="0" quotePrefix="0" xfId="0">
      <alignment vertical="center"/>
      <protection locked="0" hidden="0"/>
    </xf>
    <xf numFmtId="0" fontId="3" fillId="11" borderId="0" applyAlignment="1" applyProtection="1" pivotButton="0" quotePrefix="0" xfId="0">
      <alignment vertical="center"/>
      <protection locked="0" hidden="0"/>
    </xf>
    <xf numFmtId="0" fontId="0" fillId="0" borderId="0" applyAlignment="1" pivotButton="0" quotePrefix="0" xfId="0">
      <alignment vertical="center"/>
    </xf>
    <xf numFmtId="0" fontId="0" fillId="0" borderId="84" applyAlignment="1" pivotButton="0" quotePrefix="0" xfId="0">
      <alignment vertical="center"/>
    </xf>
    <xf numFmtId="14" fontId="0" fillId="0" borderId="0" applyAlignment="1" pivotButton="0" quotePrefix="0" xfId="0">
      <alignment vertical="center"/>
    </xf>
    <xf numFmtId="14" fontId="0" fillId="0" borderId="84" applyAlignment="1" pivotButton="0" quotePrefix="0" xfId="0">
      <alignment vertical="center"/>
    </xf>
    <xf numFmtId="14" fontId="0" fillId="0" borderId="0" applyAlignment="1" pivotButton="0" quotePrefix="0" xfId="0">
      <alignment vertical="center"/>
    </xf>
    <xf numFmtId="0" fontId="0" fillId="0" borderId="167" applyAlignment="1" pivotButton="0" quotePrefix="0" xfId="0">
      <alignment vertical="center"/>
    </xf>
    <xf numFmtId="0" fontId="0" fillId="0" borderId="168" applyAlignment="1" pivotButton="0" quotePrefix="0" xfId="0">
      <alignment vertical="center"/>
    </xf>
    <xf numFmtId="14" fontId="0" fillId="0" borderId="168" applyAlignment="1" pivotButton="0" quotePrefix="0" xfId="0">
      <alignment vertical="center"/>
    </xf>
    <xf numFmtId="0" fontId="0" fillId="0" borderId="169" applyAlignment="1" pivotButton="0" quotePrefix="0" xfId="0">
      <alignment vertical="center"/>
    </xf>
    <xf numFmtId="0" fontId="0" fillId="0" borderId="116" applyAlignment="1" pivotButton="0" quotePrefix="0" xfId="0">
      <alignment vertical="center"/>
    </xf>
    <xf numFmtId="0" fontId="0" fillId="0" borderId="170" applyAlignment="1" pivotButton="0" quotePrefix="0" xfId="0">
      <alignment vertical="center"/>
    </xf>
    <xf numFmtId="0" fontId="0" fillId="0" borderId="171" applyAlignment="1" pivotButton="0" quotePrefix="0" xfId="0">
      <alignment vertical="center"/>
    </xf>
    <xf numFmtId="14" fontId="0" fillId="0" borderId="84" applyAlignment="1" pivotButton="0" quotePrefix="0" xfId="0">
      <alignment vertical="center"/>
    </xf>
    <xf numFmtId="0" fontId="0" fillId="0" borderId="172" applyAlignment="1" pivotButton="0" quotePrefix="0" xfId="0">
      <alignment vertical="center"/>
    </xf>
    <xf numFmtId="0" fontId="30" fillId="12" borderId="130" applyAlignment="1" applyProtection="1" pivotButton="0" quotePrefix="0" xfId="6">
      <alignment horizontal="left"/>
      <protection locked="1" hidden="1"/>
    </xf>
    <xf numFmtId="178" fontId="0" fillId="0" borderId="97" applyAlignment="1" applyProtection="1" pivotButton="0" quotePrefix="0" xfId="0">
      <alignment horizontal="center" vertical="center" shrinkToFit="1"/>
      <protection locked="1" hidden="1"/>
    </xf>
    <xf numFmtId="0" fontId="7" fillId="11" borderId="0" applyAlignment="1" applyProtection="1" pivotButton="0" quotePrefix="0" xfId="6">
      <alignment horizontal="left"/>
      <protection locked="0" hidden="0"/>
    </xf>
    <xf numFmtId="0" fontId="0" fillId="11" borderId="0" applyProtection="1" pivotButton="0" quotePrefix="0" xfId="6">
      <protection locked="0" hidden="0"/>
    </xf>
    <xf numFmtId="175" fontId="7" fillId="12" borderId="0" applyAlignment="1" applyProtection="1" pivotButton="0" quotePrefix="0" xfId="6">
      <alignment vertical="center"/>
      <protection locked="0" hidden="0"/>
    </xf>
    <xf numFmtId="0" fontId="7" fillId="12" borderId="0" applyAlignment="1" applyProtection="1" pivotButton="0" quotePrefix="0" xfId="6">
      <alignment horizontal="left"/>
      <protection locked="0" hidden="0"/>
    </xf>
    <xf numFmtId="175" fontId="7" fillId="12" borderId="0" applyAlignment="1" applyProtection="1" pivotButton="0" quotePrefix="0" xfId="6">
      <alignment horizontal="left" vertical="center"/>
      <protection locked="0" hidden="0"/>
    </xf>
    <xf numFmtId="179" fontId="7" fillId="12" borderId="0" applyAlignment="1" applyProtection="1" pivotButton="0" quotePrefix="0" xfId="6">
      <alignment horizontal="left" vertical="center"/>
      <protection locked="0" hidden="0"/>
    </xf>
    <xf numFmtId="0" fontId="7" fillId="12" borderId="0" applyAlignment="1" applyProtection="1" pivotButton="0" quotePrefix="0" xfId="6">
      <alignment horizontal="left" vertical="top"/>
      <protection locked="0" hidden="0"/>
    </xf>
    <xf numFmtId="0" fontId="3" fillId="3" borderId="0" pivotButton="0" quotePrefix="0" xfId="6"/>
    <xf numFmtId="0" fontId="28" fillId="3" borderId="0" applyAlignment="1" pivotButton="0" quotePrefix="0" xfId="6">
      <alignment vertical="center"/>
    </xf>
    <xf numFmtId="0" fontId="0" fillId="3" borderId="0" pivotButton="0" quotePrefix="0" xfId="6"/>
    <xf numFmtId="0" fontId="0" fillId="3" borderId="0" applyAlignment="1" pivotButton="0" quotePrefix="0" xfId="6">
      <alignment horizontal="center" vertical="center"/>
    </xf>
    <xf numFmtId="175" fontId="29" fillId="13" borderId="0" pivotButton="0" quotePrefix="0" xfId="0"/>
    <xf numFmtId="0" fontId="0" fillId="12" borderId="0" pivotButton="0" quotePrefix="0" xfId="6"/>
    <xf numFmtId="0" fontId="8" fillId="12" borderId="0" applyAlignment="1" pivotButton="0" quotePrefix="0" xfId="6">
      <alignment horizontal="center"/>
    </xf>
    <xf numFmtId="0" fontId="30" fillId="12" borderId="0" applyAlignment="1" pivotButton="0" quotePrefix="0" xfId="6">
      <alignment horizontal="left"/>
    </xf>
    <xf numFmtId="0" fontId="20" fillId="12" borderId="0" pivotButton="0" quotePrefix="0" xfId="6"/>
    <xf numFmtId="0" fontId="30" fillId="12" borderId="0" pivotButton="0" quotePrefix="0" xfId="6"/>
    <xf numFmtId="0" fontId="30" fillId="12" borderId="0" applyAlignment="1" pivotButton="0" quotePrefix="0" xfId="6">
      <alignment readingOrder="1"/>
    </xf>
    <xf numFmtId="0" fontId="20" fillId="12" borderId="0" applyAlignment="1" pivotButton="0" quotePrefix="0" xfId="6">
      <alignment horizontal="left"/>
    </xf>
    <xf numFmtId="20" fontId="0" fillId="12" borderId="0" pivotButton="0" quotePrefix="0" xfId="6"/>
    <xf numFmtId="175" fontId="7" fillId="11" borderId="0" applyProtection="1" pivotButton="0" quotePrefix="0" xfId="6">
      <protection locked="0" hidden="0"/>
    </xf>
    <xf numFmtId="0" fontId="7" fillId="12" borderId="120" applyAlignment="1" applyProtection="1" pivotButton="0" quotePrefix="0" xfId="6">
      <alignment vertical="center"/>
      <protection locked="0" hidden="0"/>
    </xf>
    <xf numFmtId="0" fontId="7" fillId="12" borderId="129" applyAlignment="1" applyProtection="1" pivotButton="0" quotePrefix="0" xfId="6">
      <alignment vertical="center"/>
      <protection locked="0" hidden="0"/>
    </xf>
    <xf numFmtId="0" fontId="0" fillId="12" borderId="0" applyAlignment="1" applyProtection="1" pivotButton="0" quotePrefix="0" xfId="6">
      <alignment vertical="center"/>
      <protection locked="0" hidden="0"/>
    </xf>
    <xf numFmtId="0" fontId="7" fillId="11" borderId="0" applyAlignment="1" applyProtection="1" pivotButton="0" quotePrefix="0" xfId="6">
      <alignment vertical="center"/>
      <protection locked="0" hidden="0"/>
    </xf>
    <xf numFmtId="0" fontId="7" fillId="11" borderId="122" applyAlignment="1" applyProtection="1" pivotButton="0" quotePrefix="0" xfId="6">
      <alignment vertical="center"/>
      <protection locked="0" hidden="0"/>
    </xf>
    <xf numFmtId="0" fontId="0" fillId="12" borderId="0" applyProtection="1" pivotButton="0" quotePrefix="0" xfId="6">
      <protection locked="0" hidden="0"/>
    </xf>
    <xf numFmtId="0" fontId="0" fillId="11" borderId="122" applyProtection="1" pivotButton="0" quotePrefix="0" xfId="6">
      <protection locked="0" hidden="0"/>
    </xf>
    <xf numFmtId="0" fontId="0" fillId="12" borderId="0" applyAlignment="1" applyProtection="1" pivotButton="0" quotePrefix="0" xfId="6">
      <alignment horizontal="left"/>
      <protection locked="0" hidden="0"/>
    </xf>
    <xf numFmtId="0" fontId="0" fillId="12" borderId="0" applyAlignment="1" applyProtection="1" pivotButton="0" quotePrefix="0" xfId="6">
      <alignment horizontal="left" vertical="center"/>
      <protection locked="0" hidden="0"/>
    </xf>
    <xf numFmtId="0" fontId="0" fillId="12" borderId="0" applyAlignment="1" applyProtection="1" pivotButton="0" quotePrefix="0" xfId="6">
      <alignment vertical="top"/>
      <protection locked="0" hidden="0"/>
    </xf>
    <xf numFmtId="0" fontId="0" fillId="11" borderId="0" applyProtection="1" pivotButton="0" quotePrefix="0" xfId="6">
      <protection locked="0" hidden="0"/>
    </xf>
    <xf numFmtId="0" fontId="7" fillId="12" borderId="0" applyAlignment="1" applyProtection="1" pivotButton="0" quotePrefix="0" xfId="6">
      <alignment horizontal="left" vertical="center"/>
      <protection locked="0" hidden="0"/>
    </xf>
    <xf numFmtId="0" fontId="7" fillId="11" borderId="0" applyAlignment="1" applyProtection="1" pivotButton="0" quotePrefix="0" xfId="6">
      <alignment horizontal="left" vertical="center"/>
      <protection locked="0" hidden="0"/>
    </xf>
    <xf numFmtId="0" fontId="7" fillId="11" borderId="102" applyAlignment="1" applyProtection="1" pivotButton="0" quotePrefix="0" xfId="6">
      <alignment horizontal="left" vertical="center"/>
      <protection locked="0" hidden="0"/>
    </xf>
    <xf numFmtId="175" fontId="7" fillId="11" borderId="0" applyAlignment="1" applyProtection="1" pivotButton="0" quotePrefix="0" xfId="6">
      <alignment vertical="center"/>
      <protection locked="0" hidden="0"/>
    </xf>
    <xf numFmtId="175" fontId="7" fillId="11" borderId="102" applyAlignment="1" applyProtection="1" pivotButton="0" quotePrefix="0" xfId="6">
      <alignment vertical="center"/>
      <protection locked="0" hidden="0"/>
    </xf>
    <xf numFmtId="175" fontId="7" fillId="11" borderId="0" applyAlignment="1" applyProtection="1" pivotButton="0" quotePrefix="0" xfId="6">
      <alignment vertical="center"/>
      <protection locked="0" hidden="0"/>
    </xf>
    <xf numFmtId="0" fontId="0" fillId="11" borderId="0" applyAlignment="1" applyProtection="1" pivotButton="0" quotePrefix="0" xfId="6">
      <alignment horizontal="left" vertical="center"/>
      <protection locked="0" hidden="0"/>
    </xf>
    <xf numFmtId="0" fontId="7" fillId="11" borderId="0" applyAlignment="1" applyProtection="1" pivotButton="0" quotePrefix="0" xfId="6">
      <alignment horizontal="left" vertical="center"/>
      <protection locked="0" hidden="0"/>
    </xf>
    <xf numFmtId="0" fontId="30" fillId="12" borderId="0" applyProtection="1" pivotButton="0" quotePrefix="0" xfId="6">
      <protection locked="1" hidden="1"/>
    </xf>
    <xf numFmtId="0" fontId="30" fillId="12" borderId="122" applyProtection="1" pivotButton="0" quotePrefix="0" xfId="6">
      <protection locked="1" hidden="1"/>
    </xf>
    <xf numFmtId="175" fontId="7" fillId="12" borderId="0" applyAlignment="1" applyProtection="1" pivotButton="0" quotePrefix="0" xfId="6">
      <alignment horizontal="right" vertical="center"/>
      <protection locked="0" hidden="0"/>
    </xf>
    <xf numFmtId="175" fontId="7" fillId="11" borderId="0" applyAlignment="1" applyProtection="1" pivotButton="0" quotePrefix="0" xfId="6">
      <alignment horizontal="right" vertical="center"/>
      <protection locked="0" hidden="0"/>
    </xf>
    <xf numFmtId="0" fontId="7" fillId="12" borderId="174" applyAlignment="1" pivotButton="0" quotePrefix="0" xfId="6">
      <alignment horizontal="center" vertical="center"/>
    </xf>
    <xf numFmtId="0" fontId="8" fillId="3" borderId="84" applyAlignment="1" applyProtection="1" pivotButton="0" quotePrefix="0" xfId="6">
      <alignment vertical="center"/>
      <protection locked="1" hidden="1"/>
    </xf>
    <xf numFmtId="0" fontId="0" fillId="11" borderId="0" pivotButton="0" quotePrefix="0" xfId="6"/>
    <xf numFmtId="0" fontId="0" fillId="12" borderId="0" applyAlignment="1" pivotButton="0" quotePrefix="0" xfId="6">
      <alignment vertical="center"/>
    </xf>
    <xf numFmtId="0" fontId="0" fillId="11" borderId="0" applyAlignment="1" pivotButton="0" quotePrefix="0" xfId="6">
      <alignment vertical="center"/>
    </xf>
    <xf numFmtId="0" fontId="9" fillId="12" borderId="0" applyAlignment="1" pivotButton="0" quotePrefix="0" xfId="6">
      <alignment vertical="center"/>
    </xf>
    <xf numFmtId="0" fontId="26" fillId="12" borderId="0" pivotButton="0" quotePrefix="0" xfId="6"/>
    <xf numFmtId="0" fontId="3" fillId="11" borderId="0" applyProtection="1" pivotButton="0" quotePrefix="0" xfId="6">
      <protection locked="0" hidden="0"/>
    </xf>
    <xf numFmtId="175" fontId="7" fillId="11" borderId="175" applyAlignment="1" applyProtection="1" pivotButton="0" quotePrefix="0" xfId="6">
      <alignment vertical="center"/>
      <protection locked="0" hidden="0"/>
    </xf>
    <xf numFmtId="0" fontId="7" fillId="11" borderId="175" applyAlignment="1" applyProtection="1" pivotButton="0" quotePrefix="0" xfId="6">
      <alignment horizontal="left" vertical="center"/>
      <protection locked="0" hidden="0"/>
    </xf>
    <xf numFmtId="0" fontId="0" fillId="11" borderId="175" applyProtection="1" pivotButton="0" quotePrefix="0" xfId="6">
      <protection locked="0" hidden="0"/>
    </xf>
    <xf numFmtId="0" fontId="0" fillId="11" borderId="175" applyProtection="1" pivotButton="0" quotePrefix="0" xfId="6">
      <protection locked="0" hidden="0"/>
    </xf>
    <xf numFmtId="175" fontId="7" fillId="11" borderId="175" applyAlignment="1" applyProtection="1" pivotButton="0" quotePrefix="0" xfId="6">
      <alignment horizontal="right" vertical="center"/>
      <protection locked="0" hidden="0"/>
    </xf>
    <xf numFmtId="0" fontId="0" fillId="11" borderId="175" applyAlignment="1" applyProtection="1" pivotButton="0" quotePrefix="0" xfId="6">
      <alignment horizontal="left" vertical="center"/>
      <protection locked="0" hidden="0"/>
    </xf>
    <xf numFmtId="0" fontId="0" fillId="12" borderId="122" pivotButton="0" quotePrefix="0" xfId="6"/>
    <xf numFmtId="0" fontId="0" fillId="11" borderId="127" applyAlignment="1" pivotButton="0" quotePrefix="0" xfId="6">
      <alignment vertical="center"/>
    </xf>
    <xf numFmtId="0" fontId="0" fillId="12" borderId="128" pivotButton="0" quotePrefix="0" xfId="6"/>
    <xf numFmtId="0" fontId="0" fillId="3" borderId="129" pivotButton="0" quotePrefix="0" xfId="6"/>
    <xf numFmtId="0" fontId="0" fillId="3" borderId="122" pivotButton="0" quotePrefix="0" xfId="6"/>
    <xf numFmtId="0" fontId="0" fillId="0" borderId="128" pivotButton="0" quotePrefix="0" xfId="6"/>
    <xf numFmtId="0" fontId="0" fillId="3" borderId="128" pivotButton="0" quotePrefix="0" xfId="6"/>
    <xf numFmtId="0" fontId="0" fillId="12" borderId="129" pivotButton="0" quotePrefix="0" xfId="6"/>
    <xf numFmtId="0" fontId="0" fillId="12" borderId="122" applyProtection="1" pivotButton="0" quotePrefix="0" xfId="6">
      <protection locked="0" hidden="0"/>
    </xf>
    <xf numFmtId="0" fontId="0" fillId="12" borderId="122" applyAlignment="1" applyProtection="1" pivotButton="0" quotePrefix="0" xfId="6">
      <alignment horizontal="left"/>
      <protection locked="0" hidden="0"/>
    </xf>
    <xf numFmtId="0" fontId="0" fillId="11" borderId="176" pivotButton="0" quotePrefix="0" xfId="6"/>
    <xf numFmtId="0" fontId="0" fillId="11" borderId="177" applyProtection="1" pivotButton="0" quotePrefix="0" xfId="6">
      <protection locked="0" hidden="0"/>
    </xf>
    <xf numFmtId="0" fontId="0" fillId="11" borderId="128" applyProtection="1" pivotButton="0" quotePrefix="0" xfId="6">
      <protection locked="0" hidden="0"/>
    </xf>
    <xf numFmtId="175" fontId="7" fillId="11" borderId="0" applyProtection="1" pivotButton="0" quotePrefix="0" xfId="6">
      <protection locked="0" hidden="0"/>
    </xf>
    <xf numFmtId="0" fontId="0" fillId="12" borderId="0" applyAlignment="1" pivotButton="0" quotePrefix="0" xfId="6">
      <alignment horizontal="left"/>
    </xf>
    <xf numFmtId="0" fontId="26" fillId="12" borderId="76" applyAlignment="1" pivotButton="0" quotePrefix="0" xfId="6">
      <alignment horizontal="left"/>
    </xf>
    <xf numFmtId="0" fontId="0" fillId="12" borderId="102" applyAlignment="1" pivotButton="0" quotePrefix="0" xfId="6">
      <alignment horizontal="left"/>
    </xf>
    <xf numFmtId="0" fontId="0" fillId="3" borderId="120" applyAlignment="1" pivotButton="0" quotePrefix="0" xfId="6">
      <alignment horizontal="left"/>
    </xf>
    <xf numFmtId="0" fontId="28" fillId="3" borderId="0" applyAlignment="1" pivotButton="0" quotePrefix="0" xfId="6">
      <alignment horizontal="left" vertical="center"/>
    </xf>
    <xf numFmtId="0" fontId="28" fillId="3" borderId="102" applyAlignment="1" pivotButton="0" quotePrefix="0" xfId="6">
      <alignment horizontal="left" vertical="center"/>
    </xf>
    <xf numFmtId="175" fontId="29" fillId="13" borderId="0" applyAlignment="1" pivotButton="0" quotePrefix="0" xfId="0">
      <alignment horizontal="left"/>
    </xf>
    <xf numFmtId="0" fontId="0" fillId="3" borderId="102" applyAlignment="1" pivotButton="0" quotePrefix="0" xfId="6">
      <alignment horizontal="left"/>
    </xf>
    <xf numFmtId="0" fontId="0" fillId="12" borderId="120" applyAlignment="1" pivotButton="0" quotePrefix="0" xfId="6">
      <alignment horizontal="left"/>
    </xf>
    <xf numFmtId="0" fontId="30" fillId="12" borderId="75" applyAlignment="1" applyProtection="1" pivotButton="0" quotePrefix="0" xfId="6">
      <alignment horizontal="left"/>
      <protection locked="1" hidden="1"/>
    </xf>
    <xf numFmtId="0" fontId="30" fillId="12" borderId="76" applyAlignment="1" applyProtection="1" pivotButton="0" quotePrefix="0" xfId="6">
      <alignment horizontal="left" readingOrder="1"/>
      <protection locked="1" hidden="1"/>
    </xf>
    <xf numFmtId="0" fontId="7" fillId="0" borderId="0" applyAlignment="1" applyProtection="1" pivotButton="0" quotePrefix="0" xfId="6">
      <alignment horizontal="left"/>
      <protection locked="0" hidden="0"/>
    </xf>
    <xf numFmtId="0" fontId="0" fillId="0" borderId="0" applyAlignment="1" applyProtection="1" pivotButton="0" quotePrefix="0" xfId="6">
      <alignment horizontal="left"/>
      <protection locked="0" hidden="0"/>
    </xf>
    <xf numFmtId="0" fontId="0" fillId="0" borderId="0" applyAlignment="1" pivotButton="0" quotePrefix="0" xfId="6">
      <alignment horizontal="left"/>
    </xf>
    <xf numFmtId="0" fontId="12" fillId="12" borderId="0" pivotButton="0" quotePrefix="0" xfId="6"/>
    <xf numFmtId="0" fontId="12" fillId="12" borderId="0" applyAlignment="1" pivotButton="0" quotePrefix="0" xfId="6">
      <alignment vertical="center"/>
    </xf>
    <xf numFmtId="0" fontId="12" fillId="11" borderId="0" pivotButton="0" quotePrefix="0" xfId="6"/>
    <xf numFmtId="0" fontId="12" fillId="12" borderId="102" pivotButton="0" quotePrefix="0" xfId="6"/>
    <xf numFmtId="0" fontId="12" fillId="3" borderId="120" pivotButton="0" quotePrefix="0" xfId="6"/>
    <xf numFmtId="0" fontId="12" fillId="3" borderId="102" pivotButton="0" quotePrefix="0" xfId="6"/>
    <xf numFmtId="0" fontId="12" fillId="12" borderId="120" pivotButton="0" quotePrefix="0" xfId="6"/>
    <xf numFmtId="0" fontId="12" fillId="12" borderId="102" applyAlignment="1" pivotButton="0" quotePrefix="0" xfId="6">
      <alignment horizontal="left" vertical="center"/>
    </xf>
    <xf numFmtId="175" fontId="7" fillId="11" borderId="0" applyAlignment="1" applyProtection="1" pivotButton="0" quotePrefix="0" xfId="6">
      <alignment horizontal="right"/>
      <protection locked="0" hidden="0"/>
    </xf>
    <xf numFmtId="175" fontId="12" fillId="12" borderId="0" applyAlignment="1" applyProtection="1" pivotButton="0" quotePrefix="0" xfId="6">
      <alignment horizontal="right" vertical="center"/>
      <protection locked="0" hidden="0"/>
    </xf>
    <xf numFmtId="175" fontId="12" fillId="12" borderId="0" applyAlignment="1" applyProtection="1" pivotButton="0" quotePrefix="0" xfId="6">
      <alignment horizontal="right" vertical="top"/>
      <protection locked="0" hidden="0"/>
    </xf>
    <xf numFmtId="175" fontId="12" fillId="11" borderId="0" applyAlignment="1" applyProtection="1" pivotButton="0" quotePrefix="0" xfId="6">
      <alignment horizontal="right"/>
      <protection locked="0" hidden="0"/>
    </xf>
    <xf numFmtId="175" fontId="12" fillId="11" borderId="175" applyAlignment="1" applyProtection="1" pivotButton="0" quotePrefix="0" xfId="6">
      <alignment horizontal="right"/>
      <protection locked="0" hidden="0"/>
    </xf>
    <xf numFmtId="0" fontId="12" fillId="11" borderId="102" applyProtection="1" pivotButton="0" quotePrefix="0" xfId="6">
      <protection locked="0" hidden="0"/>
    </xf>
    <xf numFmtId="0" fontId="12" fillId="11" borderId="0" applyProtection="1" pivotButton="0" quotePrefix="0" xfId="6">
      <protection locked="0" hidden="0"/>
    </xf>
    <xf numFmtId="0" fontId="12" fillId="0" borderId="0" applyProtection="1" pivotButton="0" quotePrefix="0" xfId="6">
      <protection locked="0" hidden="0"/>
    </xf>
    <xf numFmtId="0" fontId="12" fillId="0" borderId="0" pivotButton="0" quotePrefix="0" xfId="6"/>
    <xf numFmtId="175" fontId="7" fillId="12" borderId="120" applyAlignment="1" applyProtection="1" pivotButton="0" quotePrefix="0" xfId="6">
      <alignment horizontal="right"/>
      <protection locked="0" hidden="0"/>
    </xf>
    <xf numFmtId="0" fontId="7" fillId="12" borderId="0" applyAlignment="1" applyProtection="1" pivotButton="0" quotePrefix="0" xfId="6">
      <alignment horizontal="right" vertical="top"/>
      <protection locked="0" hidden="0"/>
    </xf>
    <xf numFmtId="0" fontId="7" fillId="11" borderId="0" applyAlignment="1" applyProtection="1" pivotButton="0" quotePrefix="0" xfId="6">
      <alignment horizontal="right"/>
      <protection locked="0" hidden="0"/>
    </xf>
    <xf numFmtId="0" fontId="7" fillId="11" borderId="175" applyAlignment="1" applyProtection="1" pivotButton="0" quotePrefix="0" xfId="6">
      <alignment horizontal="right"/>
      <protection locked="0" hidden="0"/>
    </xf>
    <xf numFmtId="0" fontId="7" fillId="11" borderId="102" applyAlignment="1" applyProtection="1" pivotButton="0" quotePrefix="0" xfId="6">
      <alignment horizontal="right"/>
      <protection locked="0" hidden="0"/>
    </xf>
    <xf numFmtId="0" fontId="7" fillId="11" borderId="0" applyAlignment="1" applyProtection="1" pivotButton="0" quotePrefix="0" xfId="6">
      <alignment horizontal="right"/>
      <protection locked="0" hidden="0"/>
    </xf>
    <xf numFmtId="0" fontId="7" fillId="0" borderId="0" applyAlignment="1" applyProtection="1" pivotButton="0" quotePrefix="0" xfId="6">
      <alignment horizontal="right"/>
      <protection locked="0" hidden="0"/>
    </xf>
    <xf numFmtId="0" fontId="12" fillId="0" borderId="0" applyAlignment="1" applyProtection="1" pivotButton="0" quotePrefix="0" xfId="6">
      <alignment horizontal="right"/>
      <protection locked="0" hidden="0"/>
    </xf>
    <xf numFmtId="0" fontId="12" fillId="0" borderId="0" applyAlignment="1" pivotButton="0" quotePrefix="0" xfId="6">
      <alignment horizontal="right"/>
    </xf>
    <xf numFmtId="0" fontId="0" fillId="0" borderId="0" applyAlignment="1" pivotButton="0" quotePrefix="0" xfId="6">
      <alignment horizontal="right"/>
    </xf>
    <xf numFmtId="20" fontId="0" fillId="11" borderId="0" applyAlignment="1" applyProtection="1" pivotButton="0" quotePrefix="0" xfId="0">
      <alignment vertical="center"/>
      <protection locked="0" hidden="0"/>
    </xf>
    <xf numFmtId="46" fontId="0" fillId="11" borderId="0" applyAlignment="1" applyProtection="1" pivotButton="0" quotePrefix="0" xfId="0">
      <alignment vertical="center"/>
      <protection locked="0" hidden="0"/>
    </xf>
    <xf numFmtId="0" fontId="18" fillId="0" borderId="111" applyAlignment="1" applyProtection="1" pivotButton="0" quotePrefix="0" xfId="0">
      <alignment horizontal="center" vertical="center" wrapText="1"/>
      <protection locked="1" hidden="1"/>
    </xf>
    <xf numFmtId="0" fontId="0" fillId="11" borderId="0" applyAlignment="1" pivotButton="0" quotePrefix="0" xfId="0">
      <alignment horizontal="right" vertical="center"/>
    </xf>
    <xf numFmtId="0" fontId="7" fillId="11" borderId="0" applyAlignment="1" pivotButton="0" quotePrefix="0" xfId="0">
      <alignment horizontal="right"/>
    </xf>
    <xf numFmtId="0" fontId="40" fillId="16" borderId="0" pivotButton="0" quotePrefix="0" xfId="8"/>
    <xf numFmtId="0" fontId="22" fillId="10" borderId="105" applyAlignment="1" pivotButton="0" quotePrefix="0" xfId="5">
      <alignment wrapText="1"/>
    </xf>
    <xf numFmtId="14" fontId="23" fillId="9" borderId="105" applyAlignment="1" pivotButton="0" quotePrefix="0" xfId="5">
      <alignment wrapText="1"/>
    </xf>
    <xf numFmtId="0" fontId="22" fillId="0" borderId="105" applyAlignment="1" pivotButton="0" quotePrefix="0" xfId="5">
      <alignment wrapText="1"/>
    </xf>
    <xf numFmtId="14" fontId="22" fillId="0" borderId="105" applyAlignment="1" pivotButton="0" quotePrefix="0" xfId="5">
      <alignment horizontal="right" wrapText="1"/>
    </xf>
    <xf numFmtId="0" fontId="15" fillId="0" borderId="105" applyAlignment="1" pivotButton="0" quotePrefix="0" xfId="5">
      <alignment wrapText="1"/>
    </xf>
    <xf numFmtId="0" fontId="46" fillId="0" borderId="105" applyAlignment="1" pivotButton="0" quotePrefix="0" xfId="5">
      <alignment wrapText="1"/>
    </xf>
    <xf numFmtId="0" fontId="21" fillId="0" borderId="105" applyAlignment="1" pivotButton="0" quotePrefix="0" xfId="5">
      <alignment vertical="center"/>
    </xf>
    <xf numFmtId="14" fontId="21" fillId="0" borderId="105" applyAlignment="1" pivotButton="0" quotePrefix="0" xfId="5">
      <alignment vertical="center"/>
    </xf>
    <xf numFmtId="0" fontId="0" fillId="0" borderId="6" applyAlignment="1" applyProtection="1" pivotButton="0" quotePrefix="0" xfId="4">
      <alignment horizontal="center" vertical="center"/>
      <protection locked="0" hidden="0"/>
    </xf>
    <xf numFmtId="0" fontId="2" fillId="0" borderId="0" applyAlignment="1" pivotButton="0" quotePrefix="0" xfId="0">
      <alignment horizontal="center" vertical="center"/>
    </xf>
    <xf numFmtId="0" fontId="1" fillId="2" borderId="3" applyAlignment="1" pivotButton="0" quotePrefix="0" xfId="3">
      <alignment horizontal="center" vertical="center"/>
    </xf>
    <xf numFmtId="0" fontId="20" fillId="17" borderId="0" applyAlignment="1" pivotButton="0" quotePrefix="0" xfId="0">
      <alignment horizontal="center" vertical="center"/>
    </xf>
    <xf numFmtId="0" fontId="0" fillId="11" borderId="0" applyAlignment="1" pivotButton="0" quotePrefix="0" xfId="0">
      <alignment horizontal="right" vertical="center"/>
    </xf>
    <xf numFmtId="0" fontId="0" fillId="11" borderId="0" applyAlignment="1" pivotButton="0" quotePrefix="0" xfId="0">
      <alignment horizontal="left" vertical="center"/>
    </xf>
    <xf numFmtId="0" fontId="0" fillId="11" borderId="0" applyAlignment="1" pivotButton="0" quotePrefix="0" xfId="0">
      <alignment horizontal="left" vertical="center" wrapText="1"/>
    </xf>
    <xf numFmtId="0" fontId="17" fillId="0" borderId="0" applyAlignment="1" pivotButton="0" quotePrefix="0" xfId="0">
      <alignment horizontal="center" vertical="center"/>
    </xf>
    <xf numFmtId="0" fontId="3" fillId="11" borderId="0" applyAlignment="1" applyProtection="1" pivotButton="0" quotePrefix="0" xfId="0">
      <alignment vertical="center"/>
      <protection locked="0" hidden="0"/>
    </xf>
    <xf numFmtId="170" fontId="0" fillId="0" borderId="52" applyAlignment="1" applyProtection="1" pivotButton="0" quotePrefix="0" xfId="0">
      <alignment horizontal="left" vertical="center"/>
      <protection locked="0" hidden="0"/>
    </xf>
    <xf numFmtId="170" fontId="0" fillId="0" borderId="51" applyAlignment="1" applyProtection="1" pivotButton="0" quotePrefix="0" xfId="0">
      <alignment horizontal="left" vertical="center"/>
      <protection locked="0" hidden="0"/>
    </xf>
    <xf numFmtId="170" fontId="0" fillId="0" borderId="50" applyAlignment="1" applyProtection="1" pivotButton="0" quotePrefix="0" xfId="0">
      <alignment horizontal="left" vertical="center"/>
      <protection locked="0" hidden="0"/>
    </xf>
    <xf numFmtId="0" fontId="9" fillId="11" borderId="0" applyAlignment="1" pivotButton="0" quotePrefix="0" xfId="0">
      <alignment horizontal="center" vertical="center"/>
    </xf>
    <xf numFmtId="0" fontId="31" fillId="11" borderId="0" applyAlignment="1" pivotButton="0" quotePrefix="0" xfId="0">
      <alignment horizontal="center"/>
    </xf>
    <xf numFmtId="0" fontId="18" fillId="0" borderId="111" applyAlignment="1" pivotButton="0" quotePrefix="0" xfId="0">
      <alignment horizontal="center" vertical="center"/>
    </xf>
    <xf numFmtId="0" fontId="18" fillId="0" borderId="112" applyAlignment="1" pivotButton="0" quotePrefix="0" xfId="0">
      <alignment horizontal="center" vertical="center"/>
    </xf>
    <xf numFmtId="0" fontId="18" fillId="0" borderId="113" applyAlignment="1" pivotButton="0" quotePrefix="0" xfId="0">
      <alignment horizontal="center" vertical="center"/>
    </xf>
    <xf numFmtId="0" fontId="0" fillId="11" borderId="0" applyAlignment="1" pivotButton="0" quotePrefix="0" xfId="0">
      <alignment horizontal="right"/>
    </xf>
    <xf numFmtId="171" fontId="0" fillId="0" borderId="118" applyAlignment="1" applyProtection="1" pivotButton="0" quotePrefix="0" xfId="0">
      <alignment horizontal="center" vertical="center" shrinkToFit="1"/>
      <protection locked="1" hidden="1"/>
    </xf>
    <xf numFmtId="171" fontId="0" fillId="0" borderId="97" applyAlignment="1" applyProtection="1" pivotButton="0" quotePrefix="0" xfId="0">
      <alignment horizontal="center" vertical="center" shrinkToFit="1"/>
      <protection locked="1" hidden="1"/>
    </xf>
    <xf numFmtId="171" fontId="0" fillId="0" borderId="114" applyAlignment="1" applyProtection="1" pivotButton="0" quotePrefix="0" xfId="0">
      <alignment horizontal="center" vertical="center" shrinkToFit="1"/>
      <protection locked="1" hidden="1"/>
    </xf>
    <xf numFmtId="0" fontId="0" fillId="0" borderId="103" applyAlignment="1" applyProtection="1" pivotButton="0" quotePrefix="0" xfId="0">
      <alignment horizontal="center" vertical="center"/>
      <protection locked="1" hidden="1"/>
    </xf>
    <xf numFmtId="0" fontId="0" fillId="0" borderId="114" applyAlignment="1" applyProtection="1" pivotButton="0" quotePrefix="0" xfId="0">
      <alignment horizontal="center" vertical="center"/>
      <protection locked="1" hidden="1"/>
    </xf>
    <xf numFmtId="0" fontId="7" fillId="11" borderId="0" applyAlignment="1" applyProtection="1" pivotButton="0" quotePrefix="0" xfId="0">
      <alignment shrinkToFit="1"/>
      <protection locked="0" hidden="0"/>
    </xf>
    <xf numFmtId="0" fontId="20" fillId="11" borderId="0" applyAlignment="1" applyProtection="1" pivotButton="0" quotePrefix="0" xfId="0">
      <alignment vertical="center"/>
      <protection locked="0" hidden="0"/>
    </xf>
    <xf numFmtId="0" fontId="0" fillId="0" borderId="45" applyAlignment="1" pivotButton="0" quotePrefix="0" xfId="0">
      <alignment horizontal="center" vertical="center"/>
    </xf>
    <xf numFmtId="0" fontId="12" fillId="12" borderId="0" applyAlignment="1" applyProtection="1" pivotButton="0" quotePrefix="0" xfId="6">
      <alignment horizontal="left" vertical="center"/>
      <protection locked="1" hidden="1"/>
    </xf>
    <xf numFmtId="0" fontId="3" fillId="11" borderId="0" applyAlignment="1" applyProtection="1" pivotButton="0" quotePrefix="0" xfId="6">
      <alignment horizontal="left" vertical="center"/>
      <protection locked="1" hidden="1"/>
    </xf>
    <xf numFmtId="0" fontId="30" fillId="12" borderId="0" applyAlignment="1" applyProtection="1" pivotButton="0" quotePrefix="0" xfId="6">
      <alignment horizontal="left"/>
      <protection locked="1" hidden="1"/>
    </xf>
    <xf numFmtId="0" fontId="31" fillId="12" borderId="103" applyAlignment="1" pivotButton="0" quotePrefix="0" xfId="6">
      <alignment horizontal="center" vertical="center"/>
    </xf>
    <xf numFmtId="0" fontId="31" fillId="12" borderId="97" applyAlignment="1" pivotButton="0" quotePrefix="0" xfId="6">
      <alignment horizontal="center" vertical="center"/>
    </xf>
    <xf numFmtId="0" fontId="31" fillId="12" borderId="135" applyAlignment="1" pivotButton="0" quotePrefix="0" xfId="6">
      <alignment horizontal="center" vertical="center"/>
    </xf>
    <xf numFmtId="0" fontId="50" fillId="12" borderId="0" applyAlignment="1" applyProtection="1" pivotButton="0" quotePrefix="0" xfId="6">
      <alignment horizontal="left" vertical="center"/>
      <protection locked="1" hidden="1"/>
    </xf>
    <xf numFmtId="0" fontId="1" fillId="0" borderId="136" applyAlignment="1" pivotButton="0" quotePrefix="0" xfId="6">
      <alignment horizontal="center" vertical="center"/>
    </xf>
    <xf numFmtId="0" fontId="1" fillId="0" borderId="121" applyAlignment="1" pivotButton="0" quotePrefix="0" xfId="6">
      <alignment horizontal="center" vertical="center"/>
    </xf>
    <xf numFmtId="0" fontId="1" fillId="0" borderId="123" applyAlignment="1" pivotButton="0" quotePrefix="0" xfId="6">
      <alignment horizontal="center" vertical="center"/>
    </xf>
    <xf numFmtId="0" fontId="1" fillId="0" borderId="72" applyAlignment="1" pivotButton="0" quotePrefix="0" xfId="6">
      <alignment horizontal="center" vertical="center"/>
    </xf>
    <xf numFmtId="0" fontId="1" fillId="0" borderId="137" applyAlignment="1" pivotButton="0" quotePrefix="0" xfId="6">
      <alignment horizontal="center" vertical="center"/>
    </xf>
    <xf numFmtId="0" fontId="1" fillId="0" borderId="138" applyAlignment="1" pivotButton="0" quotePrefix="0" xfId="6">
      <alignment horizontal="center" vertical="center"/>
    </xf>
    <xf numFmtId="0" fontId="0" fillId="3" borderId="0" applyAlignment="1" pivotButton="0" quotePrefix="0" xfId="6">
      <alignment horizontal="center" vertical="center"/>
    </xf>
    <xf numFmtId="0" fontId="0" fillId="3" borderId="102" applyAlignment="1" pivotButton="0" quotePrefix="0" xfId="6">
      <alignment horizontal="center" vertical="center"/>
    </xf>
    <xf numFmtId="0" fontId="1" fillId="0" borderId="124" applyAlignment="1" pivotButton="0" quotePrefix="0" xfId="6">
      <alignment horizontal="center" vertical="center"/>
    </xf>
    <xf numFmtId="0" fontId="1" fillId="0" borderId="125" applyAlignment="1" pivotButton="0" quotePrefix="0" xfId="6">
      <alignment horizontal="center" vertical="center"/>
    </xf>
    <xf numFmtId="0" fontId="1" fillId="0" borderId="139" applyAlignment="1" pivotButton="0" quotePrefix="0" xfId="6">
      <alignment horizontal="center" vertical="center"/>
    </xf>
    <xf numFmtId="0" fontId="1" fillId="0" borderId="140" applyAlignment="1" pivotButton="0" quotePrefix="0" xfId="6">
      <alignment horizontal="center" vertical="center"/>
    </xf>
    <xf numFmtId="0" fontId="28" fillId="3" borderId="0" applyAlignment="1" applyProtection="1" pivotButton="0" quotePrefix="0" xfId="6">
      <alignment horizontal="center" vertical="center"/>
      <protection locked="1" hidden="1"/>
    </xf>
    <xf numFmtId="175" fontId="32" fillId="13" borderId="74" applyAlignment="1" applyProtection="1" pivotButton="0" quotePrefix="0" xfId="0">
      <alignment horizontal="center" vertical="center"/>
      <protection locked="1" hidden="1"/>
    </xf>
    <xf numFmtId="175" fontId="32" fillId="13" borderId="0" applyAlignment="1" applyProtection="1" pivotButton="0" quotePrefix="0" xfId="0">
      <alignment horizontal="center" vertical="center"/>
      <protection locked="1" hidden="1"/>
    </xf>
    <xf numFmtId="175" fontId="32" fillId="13" borderId="122" applyAlignment="1" applyProtection="1" pivotButton="0" quotePrefix="0" xfId="0">
      <alignment horizontal="center" vertical="center"/>
      <protection locked="1" hidden="1"/>
    </xf>
    <xf numFmtId="179" fontId="7" fillId="11" borderId="0" applyAlignment="1" pivotButton="0" quotePrefix="0" xfId="0">
      <alignment horizontal="right"/>
    </xf>
    <xf numFmtId="0" fontId="1" fillId="0" borderId="103" applyAlignment="1" pivotButton="0" quotePrefix="0" xfId="6">
      <alignment horizontal="center" vertical="center"/>
    </xf>
    <xf numFmtId="0" fontId="1" fillId="0" borderId="133" applyAlignment="1" pivotButton="0" quotePrefix="0" xfId="6">
      <alignment horizontal="center" vertical="center"/>
    </xf>
    <xf numFmtId="0" fontId="45" fillId="12" borderId="119" applyAlignment="1" applyProtection="1" pivotButton="0" quotePrefix="0" xfId="6">
      <alignment horizontal="center" vertical="center"/>
      <protection locked="1" hidden="1"/>
    </xf>
    <xf numFmtId="0" fontId="45" fillId="12" borderId="120" applyAlignment="1" applyProtection="1" pivotButton="0" quotePrefix="0" xfId="6">
      <alignment horizontal="center" vertical="center"/>
      <protection locked="1" hidden="1"/>
    </xf>
    <xf numFmtId="0" fontId="45" fillId="12" borderId="129" applyAlignment="1" applyProtection="1" pivotButton="0" quotePrefix="0" xfId="6">
      <alignment horizontal="center" vertical="center"/>
      <protection locked="1" hidden="1"/>
    </xf>
    <xf numFmtId="0" fontId="45" fillId="12" borderId="127" applyAlignment="1" applyProtection="1" pivotButton="0" quotePrefix="0" xfId="6">
      <alignment horizontal="center" vertical="center"/>
      <protection locked="1" hidden="1"/>
    </xf>
    <xf numFmtId="0" fontId="45" fillId="12" borderId="0" applyAlignment="1" applyProtection="1" pivotButton="0" quotePrefix="0" xfId="6">
      <alignment horizontal="center" vertical="center"/>
      <protection locked="1" hidden="1"/>
    </xf>
    <xf numFmtId="0" fontId="45" fillId="12" borderId="122" applyAlignment="1" applyProtection="1" pivotButton="0" quotePrefix="0" xfId="6">
      <alignment horizontal="center" vertical="center"/>
      <protection locked="1" hidden="1"/>
    </xf>
    <xf numFmtId="0" fontId="9" fillId="12" borderId="75" applyAlignment="1" applyProtection="1" pivotButton="0" quotePrefix="0" xfId="6">
      <alignment horizontal="left"/>
      <protection locked="1" hidden="1"/>
    </xf>
    <xf numFmtId="180" fontId="9" fillId="3" borderId="134" applyAlignment="1" applyProtection="1" pivotButton="0" quotePrefix="0" xfId="6">
      <alignment horizontal="center" vertical="center"/>
      <protection locked="1" hidden="1"/>
    </xf>
    <xf numFmtId="180" fontId="9" fillId="3" borderId="97" applyAlignment="1" applyProtection="1" pivotButton="0" quotePrefix="0" xfId="6">
      <alignment horizontal="center" vertical="center"/>
      <protection locked="1" hidden="1"/>
    </xf>
    <xf numFmtId="180" fontId="9" fillId="3" borderId="135" applyAlignment="1" applyProtection="1" pivotButton="0" quotePrefix="0" xfId="6">
      <alignment horizontal="center" vertical="center"/>
      <protection locked="1" hidden="1"/>
    </xf>
    <xf numFmtId="0" fontId="0" fillId="12" borderId="173" applyAlignment="1" pivotButton="0" quotePrefix="0" xfId="6">
      <alignment horizontal="center" vertical="center"/>
    </xf>
    <xf numFmtId="0" fontId="0" fillId="12" borderId="86" applyAlignment="1" pivotButton="0" quotePrefix="0" xfId="6">
      <alignment horizontal="center" vertical="center"/>
    </xf>
    <xf numFmtId="0" fontId="0" fillId="12" borderId="125" applyAlignment="1" pivotButton="0" quotePrefix="0" xfId="6">
      <alignment horizontal="center" vertical="center"/>
    </xf>
    <xf numFmtId="0" fontId="0" fillId="12" borderId="140" applyAlignment="1" pivotButton="0" quotePrefix="0" xfId="6">
      <alignment horizontal="center" vertical="center"/>
    </xf>
    <xf numFmtId="0" fontId="12" fillId="12" borderId="83" applyAlignment="1" pivotButton="0" quotePrefix="0" xfId="7">
      <alignment horizontal="right"/>
    </xf>
    <xf numFmtId="0" fontId="1" fillId="0" borderId="72" applyAlignment="1" pivotButton="0" quotePrefix="0" xfId="7">
      <alignment horizontal="center" vertical="center"/>
    </xf>
    <xf numFmtId="0" fontId="1" fillId="0" borderId="73" applyAlignment="1" pivotButton="0" quotePrefix="0" xfId="7">
      <alignment horizontal="center" vertical="center"/>
    </xf>
    <xf numFmtId="0" fontId="30" fillId="3" borderId="83" applyAlignment="1" pivotButton="0" quotePrefix="0" xfId="7">
      <alignment horizontal="center"/>
    </xf>
    <xf numFmtId="0" fontId="30" fillId="3" borderId="0" applyAlignment="1" applyProtection="1" pivotButton="0" quotePrefix="0" xfId="7">
      <alignment horizontal="center"/>
      <protection locked="0" hidden="0"/>
    </xf>
    <xf numFmtId="0" fontId="8" fillId="3" borderId="0" applyAlignment="1" applyProtection="1" pivotButton="0" quotePrefix="0" xfId="7">
      <alignment horizontal="center"/>
      <protection locked="0" hidden="0"/>
    </xf>
    <xf numFmtId="0" fontId="30" fillId="3" borderId="0" applyAlignment="1" applyProtection="1" pivotButton="0" quotePrefix="0" xfId="7">
      <alignment horizontal="left"/>
      <protection locked="0" hidden="0"/>
    </xf>
    <xf numFmtId="0" fontId="30" fillId="3" borderId="77" applyAlignment="1" applyProtection="1" pivotButton="0" quotePrefix="0" xfId="7">
      <alignment horizontal="left"/>
      <protection locked="0" hidden="0"/>
    </xf>
    <xf numFmtId="3" fontId="7" fillId="3" borderId="83" applyAlignment="1" applyProtection="1" pivotButton="0" quotePrefix="0" xfId="7">
      <alignment horizontal="center" vertical="center"/>
      <protection locked="0" hidden="0"/>
    </xf>
    <xf numFmtId="0" fontId="7" fillId="3" borderId="83" applyAlignment="1" applyProtection="1" pivotButton="0" quotePrefix="0" xfId="7">
      <alignment horizontal="center" vertical="center"/>
      <protection locked="0" hidden="0"/>
    </xf>
    <xf numFmtId="0" fontId="7" fillId="3" borderId="106" applyAlignment="1" applyProtection="1" pivotButton="0" quotePrefix="0" xfId="7">
      <alignment horizontal="center" vertical="center"/>
      <protection locked="0" hidden="0"/>
    </xf>
    <xf numFmtId="0" fontId="3" fillId="3" borderId="81" applyAlignment="1" pivotButton="0" quotePrefix="0" xfId="7">
      <alignment horizontal="center"/>
    </xf>
    <xf numFmtId="0" fontId="30" fillId="3" borderId="0" applyAlignment="1" applyProtection="1" pivotButton="0" quotePrefix="0" xfId="7">
      <alignment horizontal="center" vertical="center"/>
      <protection locked="1" hidden="1"/>
    </xf>
    <xf numFmtId="0" fontId="0" fillId="3" borderId="0" applyAlignment="1" pivotButton="0" quotePrefix="0" xfId="7">
      <alignment horizontal="center" vertical="center"/>
    </xf>
    <xf numFmtId="0" fontId="1" fillId="0" borderId="86" applyAlignment="1" pivotButton="0" quotePrefix="0" xfId="7">
      <alignment horizontal="center" vertical="center"/>
    </xf>
    <xf numFmtId="0" fontId="3" fillId="3" borderId="79" applyAlignment="1" pivotButton="0" quotePrefix="0" xfId="7">
      <alignment horizontal="center"/>
    </xf>
    <xf numFmtId="175" fontId="12" fillId="3" borderId="0" applyAlignment="1" applyProtection="1" pivotButton="0" quotePrefix="0" xfId="7">
      <alignment horizontal="center"/>
      <protection locked="1" hidden="1"/>
    </xf>
    <xf numFmtId="175" fontId="0" fillId="0" borderId="0" applyAlignment="1" applyProtection="1" pivotButton="0" quotePrefix="0" xfId="7">
      <alignment horizontal="center"/>
      <protection locked="1" hidden="1"/>
    </xf>
    <xf numFmtId="0" fontId="1" fillId="0" borderId="78" applyAlignment="1" pivotButton="0" quotePrefix="0" xfId="7">
      <alignment horizontal="center"/>
    </xf>
    <xf numFmtId="181" fontId="9" fillId="3" borderId="79" applyAlignment="1" applyProtection="1" pivotButton="0" quotePrefix="0" xfId="7">
      <alignment horizontal="center" vertical="center"/>
      <protection locked="1" hidden="1"/>
    </xf>
    <xf numFmtId="181" fontId="9" fillId="3" borderId="2" applyAlignment="1" applyProtection="1" pivotButton="0" quotePrefix="0" xfId="7">
      <alignment horizontal="center" vertical="center"/>
      <protection locked="1" hidden="1"/>
    </xf>
    <xf numFmtId="181" fontId="9" fillId="3" borderId="85" applyAlignment="1" applyProtection="1" pivotButton="0" quotePrefix="0" xfId="7">
      <alignment horizontal="center" vertical="center"/>
      <protection locked="1" hidden="1"/>
    </xf>
    <xf numFmtId="0" fontId="45" fillId="3" borderId="0" applyAlignment="1" pivotButton="0" quotePrefix="0" xfId="7">
      <alignment horizontal="center"/>
    </xf>
    <xf numFmtId="0" fontId="7" fillId="12" borderId="143" applyAlignment="1" pivotButton="0" quotePrefix="0" xfId="6">
      <alignment horizontal="center" vertical="center"/>
    </xf>
    <xf numFmtId="0" fontId="7" fillId="12" borderId="144" applyAlignment="1" pivotButton="0" quotePrefix="0" xfId="6">
      <alignment horizontal="center" vertical="center"/>
    </xf>
    <xf numFmtId="0" fontId="7" fillId="12" borderId="134" applyAlignment="1" pivotButton="0" quotePrefix="0" xfId="6">
      <alignment horizontal="center" vertical="center"/>
    </xf>
    <xf numFmtId="0" fontId="9" fillId="3" borderId="75" applyAlignment="1" applyProtection="1" pivotButton="0" quotePrefix="0" xfId="7">
      <alignment horizontal="left"/>
      <protection locked="1" hidden="1"/>
    </xf>
    <xf numFmtId="0" fontId="0" fillId="12" borderId="126" applyAlignment="1" pivotButton="0" quotePrefix="0" xfId="6">
      <alignment horizontal="center" vertical="center"/>
    </xf>
    <xf numFmtId="0" fontId="0" fillId="12" borderId="72" applyAlignment="1" pivotButton="0" quotePrefix="0" xfId="6">
      <alignment horizontal="center" vertical="center"/>
    </xf>
    <xf numFmtId="0" fontId="0" fillId="12" borderId="79" applyAlignment="1" pivotButton="0" quotePrefix="0" xfId="6">
      <alignment horizontal="center" vertical="center"/>
    </xf>
    <xf numFmtId="0" fontId="0" fillId="12" borderId="131" applyAlignment="1" pivotButton="0" quotePrefix="0" xfId="6">
      <alignment horizontal="center" vertical="center"/>
    </xf>
    <xf numFmtId="0" fontId="0" fillId="12" borderId="132" applyAlignment="1" pivotButton="0" quotePrefix="0" xfId="6">
      <alignment horizontal="center" vertical="center"/>
    </xf>
    <xf numFmtId="0" fontId="0" fillId="0" borderId="6" applyAlignment="1" applyProtection="1" pivotButton="0" quotePrefix="0" xfId="4">
      <alignment horizontal="center" vertical="center"/>
      <protection locked="0" hidden="0"/>
    </xf>
    <xf numFmtId="0" fontId="11" fillId="2" borderId="19" applyAlignment="1" pivotButton="0" quotePrefix="0" xfId="4">
      <alignment horizontal="center" vertical="center"/>
    </xf>
    <xf numFmtId="0" fontId="0" fillId="2" borderId="20" applyAlignment="1" applyProtection="1" pivotButton="0" quotePrefix="0" xfId="4">
      <alignment horizontal="center" vertical="center"/>
      <protection locked="1" hidden="1"/>
    </xf>
    <xf numFmtId="0" fontId="0" fillId="0" borderId="22" applyAlignment="1" pivotButton="0" quotePrefix="0" xfId="4">
      <alignment horizontal="center" vertical="center"/>
    </xf>
    <xf numFmtId="0" fontId="0" fillId="2" borderId="23" applyAlignment="1" applyProtection="1" pivotButton="0" quotePrefix="0" xfId="4">
      <alignment horizontal="center" vertical="center"/>
      <protection locked="1" hidden="1"/>
    </xf>
    <xf numFmtId="168" fontId="10" fillId="7" borderId="21" applyAlignment="1" applyProtection="1" pivotButton="0" quotePrefix="0" xfId="4">
      <alignment vertical="center"/>
      <protection locked="1" hidden="1"/>
    </xf>
    <xf numFmtId="0" fontId="0" fillId="0" borderId="35" applyAlignment="1" applyProtection="1" pivotButton="0" quotePrefix="0" xfId="0">
      <alignment horizontal="center" vertical="center"/>
      <protection locked="0" hidden="0"/>
    </xf>
    <xf numFmtId="0" fontId="0" fillId="0" borderId="34" applyAlignment="1" applyProtection="1" pivotButton="0" quotePrefix="0" xfId="0">
      <alignment horizontal="center" vertical="center"/>
      <protection locked="0" hidden="0"/>
    </xf>
    <xf numFmtId="0" fontId="0" fillId="0" borderId="39"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0" borderId="33" applyAlignment="1" applyProtection="1" pivotButton="0" quotePrefix="0" xfId="0">
      <alignment horizontal="center" vertical="center"/>
      <protection locked="0" hidden="0"/>
    </xf>
    <xf numFmtId="0" fontId="0" fillId="0" borderId="36" applyAlignment="1" applyProtection="1" pivotButton="0" quotePrefix="0" xfId="0">
      <alignment horizontal="center" vertical="center"/>
      <protection locked="0" hidden="0"/>
    </xf>
    <xf numFmtId="0" fontId="0" fillId="0" borderId="37" applyAlignment="1" applyProtection="1" pivotButton="0" quotePrefix="0" xfId="0">
      <alignment horizontal="center" vertical="center"/>
      <protection locked="0" hidden="0"/>
    </xf>
    <xf numFmtId="0" fontId="0" fillId="0" borderId="38" applyAlignment="1" applyProtection="1" pivotButton="0" quotePrefix="0" xfId="0">
      <alignment horizontal="center" vertical="center"/>
      <protection locked="0" hidden="0"/>
    </xf>
    <xf numFmtId="0" fontId="0" fillId="0" borderId="27" applyAlignment="1" applyProtection="1" pivotButton="0" quotePrefix="0" xfId="0">
      <alignment horizontal="center" vertical="center"/>
      <protection locked="0" hidden="0"/>
    </xf>
    <xf numFmtId="0" fontId="14" fillId="0" borderId="146" applyAlignment="1" applyProtection="1" pivotButton="0" quotePrefix="0" xfId="4">
      <alignment vertical="center"/>
      <protection locked="1" hidden="1"/>
    </xf>
    <xf numFmtId="0" fontId="7" fillId="0" borderId="146" applyAlignment="1" applyProtection="1" pivotButton="0" quotePrefix="0" xfId="4">
      <alignment vertical="center"/>
      <protection locked="1" hidden="1"/>
    </xf>
    <xf numFmtId="0" fontId="7" fillId="0" borderId="147" applyAlignment="1" applyProtection="1" pivotButton="0" quotePrefix="0" xfId="4">
      <alignment vertical="center"/>
      <protection locked="1" hidden="1"/>
    </xf>
    <xf numFmtId="0" fontId="14" fillId="0" borderId="149" applyAlignment="1" applyProtection="1" pivotButton="0" quotePrefix="0" xfId="4">
      <alignment vertical="center"/>
      <protection locked="1" hidden="1"/>
    </xf>
    <xf numFmtId="0" fontId="7" fillId="0" borderId="149" applyAlignment="1" applyProtection="1" pivotButton="0" quotePrefix="0" xfId="4">
      <alignment vertical="center"/>
      <protection locked="1" hidden="1"/>
    </xf>
    <xf numFmtId="0" fontId="7" fillId="0" borderId="150" applyAlignment="1" applyProtection="1" pivotButton="0" quotePrefix="0" xfId="4">
      <alignment vertical="center"/>
      <protection locked="1" hidden="1"/>
    </xf>
    <xf numFmtId="0" fontId="9" fillId="0" borderId="1" applyAlignment="1" applyProtection="1" pivotButton="0" quotePrefix="0" xfId="4">
      <alignment vertical="center"/>
      <protection locked="1" hidden="1"/>
    </xf>
    <xf numFmtId="0" fontId="0" fillId="6" borderId="26" applyAlignment="1" applyProtection="1" pivotButton="0" quotePrefix="0" xfId="4">
      <alignment horizontal="center" vertical="center"/>
      <protection locked="1" hidden="1"/>
    </xf>
    <xf numFmtId="0" fontId="0" fillId="6" borderId="6" applyAlignment="1" applyProtection="1" pivotButton="0" quotePrefix="0" xfId="4">
      <alignment horizontal="center" vertical="center"/>
      <protection locked="1" hidden="1"/>
    </xf>
    <xf numFmtId="0" fontId="0" fillId="6" borderId="19" applyAlignment="1" applyProtection="1" pivotButton="0" quotePrefix="0" xfId="4">
      <alignment horizontal="center" vertical="center"/>
      <protection locked="1" hidden="1"/>
    </xf>
    <xf numFmtId="0" fontId="0" fillId="6" borderId="24" applyAlignment="1" applyProtection="1" pivotButton="0" quotePrefix="0" xfId="4">
      <alignment horizontal="center" vertical="center"/>
      <protection locked="1" hidden="1"/>
    </xf>
    <xf numFmtId="182" fontId="4" fillId="0" borderId="0" applyAlignment="1" applyProtection="1" pivotButton="0" quotePrefix="0" xfId="4">
      <alignment horizontal="center" vertical="center"/>
      <protection locked="1" hidden="1"/>
    </xf>
    <xf numFmtId="182" fontId="4" fillId="0" borderId="25" applyAlignment="1" applyProtection="1" pivotButton="0" quotePrefix="0" xfId="4">
      <alignment horizontal="center" vertical="center"/>
      <protection locked="1" hidden="1"/>
    </xf>
    <xf numFmtId="0" fontId="34" fillId="12" borderId="0" applyAlignment="1" pivotButton="0" quotePrefix="0" xfId="8">
      <alignment horizontal="center" vertical="center"/>
    </xf>
    <xf numFmtId="0" fontId="37" fillId="12" borderId="103" applyAlignment="1" pivotButton="0" quotePrefix="0" xfId="8">
      <alignment horizontal="center" vertical="center"/>
    </xf>
    <xf numFmtId="0" fontId="37" fillId="12" borderId="97" applyAlignment="1" pivotButton="0" quotePrefix="0" xfId="8">
      <alignment horizontal="center" vertical="center"/>
    </xf>
    <xf numFmtId="0" fontId="37" fillId="12" borderId="135" applyAlignment="1" pivotButton="0" quotePrefix="0" xfId="8">
      <alignment horizontal="center" vertical="center"/>
    </xf>
    <xf numFmtId="0" fontId="33" fillId="12" borderId="87" applyAlignment="1" pivotButton="0" quotePrefix="0" xfId="8">
      <alignment horizontal="center" vertical="center"/>
    </xf>
    <xf numFmtId="0" fontId="33" fillId="12" borderId="88" applyAlignment="1" pivotButton="0" quotePrefix="0" xfId="8">
      <alignment horizontal="center" vertical="center"/>
    </xf>
    <xf numFmtId="0" fontId="33" fillId="12" borderId="89" applyAlignment="1" pivotButton="0" quotePrefix="0" xfId="8">
      <alignment horizontal="center" vertical="center"/>
    </xf>
    <xf numFmtId="0" fontId="33" fillId="12" borderId="91" applyAlignment="1" pivotButton="0" quotePrefix="0" xfId="8">
      <alignment horizontal="center" vertical="center"/>
    </xf>
    <xf numFmtId="0" fontId="33" fillId="12" borderId="19" applyAlignment="1" pivotButton="0" quotePrefix="0" xfId="8">
      <alignment horizontal="center" vertical="center"/>
    </xf>
    <xf numFmtId="0" fontId="33" fillId="12" borderId="92" applyAlignment="1" pivotButton="0" quotePrefix="0" xfId="8">
      <alignment horizontal="center" vertical="center"/>
    </xf>
    <xf numFmtId="0" fontId="33" fillId="12" borderId="93" applyAlignment="1" pivotButton="0" quotePrefix="0" xfId="8">
      <alignment horizontal="center" vertical="center"/>
    </xf>
    <xf numFmtId="0" fontId="33" fillId="12" borderId="94" applyAlignment="1" pivotButton="0" quotePrefix="0" xfId="8">
      <alignment horizontal="center" vertical="center"/>
    </xf>
    <xf numFmtId="0" fontId="33" fillId="12" borderId="95" applyAlignment="1" pivotButton="0" quotePrefix="0" xfId="8">
      <alignment horizontal="center" vertical="center"/>
    </xf>
    <xf numFmtId="0" fontId="33" fillId="12" borderId="151" applyAlignment="1" pivotButton="0" quotePrefix="0" xfId="8">
      <alignment horizontal="center" vertical="center"/>
    </xf>
    <xf numFmtId="0" fontId="33" fillId="12" borderId="152" applyAlignment="1" pivotButton="0" quotePrefix="0" xfId="8">
      <alignment horizontal="center" vertical="center"/>
    </xf>
    <xf numFmtId="0" fontId="33" fillId="12" borderId="153" applyAlignment="1" pivotButton="0" quotePrefix="0" xfId="8">
      <alignment horizontal="center" vertical="center"/>
    </xf>
    <xf numFmtId="0" fontId="40" fillId="11" borderId="154" applyAlignment="1" pivotButton="0" quotePrefix="0" xfId="8">
      <alignment horizontal="center" vertical="center"/>
    </xf>
    <xf numFmtId="0" fontId="40" fillId="11" borderId="96" applyAlignment="1" pivotButton="0" quotePrefix="0" xfId="8">
      <alignment horizontal="center" vertical="center"/>
    </xf>
    <xf numFmtId="0" fontId="33" fillId="12" borderId="0" pivotButton="0" quotePrefix="0" xfId="8"/>
    <xf numFmtId="180" fontId="36" fillId="12" borderId="103" applyAlignment="1" applyProtection="1" pivotButton="0" quotePrefix="0" xfId="8">
      <alignment horizontal="center" vertical="center"/>
      <protection locked="1" hidden="1"/>
    </xf>
    <xf numFmtId="180" fontId="36" fillId="12" borderId="97" applyAlignment="1" applyProtection="1" pivotButton="0" quotePrefix="0" xfId="8">
      <alignment horizontal="center" vertical="center"/>
      <protection locked="1" hidden="1"/>
    </xf>
    <xf numFmtId="180" fontId="36" fillId="12" borderId="135" applyAlignment="1" applyProtection="1" pivotButton="0" quotePrefix="0" xfId="8">
      <alignment horizontal="center" vertical="center"/>
      <protection locked="1" hidden="1"/>
    </xf>
    <xf numFmtId="175" fontId="33" fillId="12" borderId="0" applyAlignment="1" applyProtection="1" pivotButton="0" quotePrefix="0" xfId="8">
      <alignment horizontal="center"/>
      <protection locked="1" hidden="1"/>
    </xf>
    <xf numFmtId="0" fontId="33" fillId="12" borderId="0" applyAlignment="1" pivotButton="0" quotePrefix="0" xfId="8">
      <alignment horizontal="center" vertical="center"/>
    </xf>
    <xf numFmtId="0" fontId="40" fillId="12" borderId="0" applyAlignment="1" applyProtection="1" pivotButton="0" quotePrefix="0" xfId="8">
      <alignment horizontal="center" vertical="center" shrinkToFit="1"/>
      <protection locked="1" hidden="1"/>
    </xf>
    <xf numFmtId="0" fontId="33" fillId="12" borderId="0" applyAlignment="1" applyProtection="1" pivotButton="0" quotePrefix="0" xfId="8">
      <alignment horizontal="center"/>
      <protection locked="0" hidden="0"/>
    </xf>
    <xf numFmtId="0" fontId="33" fillId="12" borderId="102" applyAlignment="1" applyProtection="1" pivotButton="0" quotePrefix="0" xfId="8">
      <alignment horizontal="center"/>
      <protection locked="0" hidden="0"/>
    </xf>
    <xf numFmtId="0" fontId="33" fillId="11" borderId="164" applyProtection="1" pivotButton="0" quotePrefix="0" xfId="8">
      <protection locked="0" hidden="0"/>
    </xf>
    <xf numFmtId="0" fontId="33" fillId="11" borderId="165" applyProtection="1" pivotButton="0" quotePrefix="0" xfId="8">
      <protection locked="0" hidden="0"/>
    </xf>
    <xf numFmtId="0" fontId="33" fillId="11" borderId="166" applyProtection="1" pivotButton="0" quotePrefix="0" xfId="8">
      <protection locked="0" hidden="0"/>
    </xf>
    <xf numFmtId="0" fontId="33" fillId="11" borderId="127" applyProtection="1" pivotButton="0" quotePrefix="0" xfId="8">
      <protection locked="0" hidden="0"/>
    </xf>
    <xf numFmtId="0" fontId="33" fillId="11" borderId="0" applyProtection="1" pivotButton="0" quotePrefix="0" xfId="8">
      <protection locked="0" hidden="0"/>
    </xf>
    <xf numFmtId="0" fontId="33" fillId="11" borderId="122" applyProtection="1" pivotButton="0" quotePrefix="0" xfId="8">
      <protection locked="0" hidden="0"/>
    </xf>
    <xf numFmtId="0" fontId="33" fillId="11" borderId="104" applyProtection="1" pivotButton="0" quotePrefix="0" xfId="8">
      <protection locked="0" hidden="0"/>
    </xf>
    <xf numFmtId="0" fontId="33" fillId="11" borderId="102" applyProtection="1" pivotButton="0" quotePrefix="0" xfId="8">
      <protection locked="0" hidden="0"/>
    </xf>
    <xf numFmtId="0" fontId="33" fillId="11" borderId="128" applyProtection="1" pivotButton="0" quotePrefix="0" xfId="8">
      <protection locked="0" hidden="0"/>
    </xf>
    <xf numFmtId="0" fontId="40" fillId="11" borderId="87" applyAlignment="1" pivotButton="0" quotePrefix="0" xfId="8">
      <alignment horizontal="center" vertical="center"/>
    </xf>
    <xf numFmtId="0" fontId="40" fillId="11" borderId="98" applyAlignment="1" pivotButton="0" quotePrefix="0" xfId="8">
      <alignment horizontal="center" vertical="center"/>
    </xf>
    <xf numFmtId="0" fontId="40" fillId="11" borderId="91" applyAlignment="1" pivotButton="0" quotePrefix="0" xfId="8">
      <alignment horizontal="center" vertical="center"/>
    </xf>
    <xf numFmtId="0" fontId="40" fillId="11" borderId="99" applyAlignment="1" pivotButton="0" quotePrefix="0" xfId="8">
      <alignment horizontal="center" vertical="center"/>
    </xf>
    <xf numFmtId="0" fontId="40" fillId="11" borderId="93" applyAlignment="1" pivotButton="0" quotePrefix="0" xfId="8">
      <alignment horizontal="center" vertical="center"/>
    </xf>
    <xf numFmtId="0" fontId="40" fillId="11" borderId="100" applyAlignment="1" pivotButton="0" quotePrefix="0" xfId="8">
      <alignment horizontal="center" vertical="center"/>
    </xf>
    <xf numFmtId="0" fontId="40" fillId="11" borderId="155" applyAlignment="1" pivotButton="0" quotePrefix="0" xfId="8">
      <alignment horizontal="center" vertical="center"/>
    </xf>
    <xf numFmtId="0" fontId="40" fillId="11" borderId="101" applyAlignment="1" pivotButton="0" quotePrefix="0" xfId="8">
      <alignment horizontal="center" vertical="center"/>
    </xf>
    <xf numFmtId="0" fontId="33" fillId="12" borderId="102" pivotButton="0" quotePrefix="0" xfId="8"/>
    <xf numFmtId="0" fontId="41" fillId="12" borderId="119" applyAlignment="1" pivotButton="0" quotePrefix="0" xfId="8">
      <alignment horizontal="center"/>
    </xf>
    <xf numFmtId="0" fontId="41" fillId="12" borderId="120" applyAlignment="1" pivotButton="0" quotePrefix="0" xfId="8">
      <alignment horizontal="center"/>
    </xf>
    <xf numFmtId="0" fontId="41" fillId="12" borderId="129" applyAlignment="1" pivotButton="0" quotePrefix="0" xfId="8">
      <alignment horizontal="center"/>
    </xf>
    <xf numFmtId="0" fontId="40" fillId="11" borderId="89" applyAlignment="1" pivotButton="0" quotePrefix="0" xfId="8">
      <alignment horizontal="center" vertical="center"/>
    </xf>
    <xf numFmtId="0" fontId="40" fillId="11" borderId="92" applyAlignment="1" pivotButton="0" quotePrefix="0" xfId="8">
      <alignment horizontal="center" vertical="center"/>
    </xf>
    <xf numFmtId="0" fontId="40" fillId="11" borderId="95" applyAlignment="1" pivotButton="0" quotePrefix="0" xfId="8">
      <alignment horizontal="center" vertical="center"/>
    </xf>
    <xf numFmtId="0" fontId="24" fillId="0" borderId="105" applyAlignment="1" pivotButton="0" quotePrefix="0" xfId="5">
      <alignment horizontal="center" wrapText="1"/>
    </xf>
    <xf numFmtId="0" fontId="0" fillId="0" borderId="0" pivotButton="0" quotePrefix="0" xfId="0"/>
    <xf numFmtId="0" fontId="0" fillId="0" borderId="76" pivotButton="0" quotePrefix="0" xfId="0"/>
    <xf numFmtId="0" fontId="0" fillId="0" borderId="10" pivotButton="0" quotePrefix="0" xfId="0"/>
    <xf numFmtId="164" fontId="12" fillId="0" borderId="5" applyAlignment="1" applyProtection="1" pivotButton="0" quotePrefix="0" xfId="3">
      <alignment horizontal="center" vertical="center"/>
      <protection locked="0" hidden="0"/>
    </xf>
    <xf numFmtId="164" fontId="12" fillId="0" borderId="6" applyAlignment="1" applyProtection="1" pivotButton="0" quotePrefix="0" xfId="3">
      <alignment vertical="center"/>
      <protection locked="0" hidden="0"/>
    </xf>
    <xf numFmtId="164" fontId="12" fillId="0" borderId="6" applyAlignment="1" applyProtection="1" pivotButton="0" quotePrefix="0" xfId="3">
      <alignment horizontal="center" vertical="center"/>
      <protection locked="0" hidden="0"/>
    </xf>
    <xf numFmtId="164" fontId="12" fillId="0" borderId="7" applyAlignment="1" applyProtection="1" pivotButton="0" quotePrefix="0" xfId="3">
      <alignment horizontal="center" vertical="center"/>
      <protection locked="0" hidden="0"/>
    </xf>
    <xf numFmtId="165" fontId="1" fillId="0" borderId="3" applyAlignment="1" pivotButton="0" quotePrefix="0" xfId="3">
      <alignment vertical="center"/>
    </xf>
    <xf numFmtId="0" fontId="0" fillId="0" borderId="178" pivotButton="0" quotePrefix="0" xfId="0"/>
    <xf numFmtId="0" fontId="0" fillId="0" borderId="57" pivotButton="0" quotePrefix="0" xfId="0"/>
    <xf numFmtId="0" fontId="18" fillId="0" borderId="185" applyAlignment="1" pivotButton="0" quotePrefix="0" xfId="0">
      <alignment horizontal="center" vertical="center"/>
    </xf>
    <xf numFmtId="0" fontId="0" fillId="0" borderId="112" pivotButton="0" quotePrefix="0" xfId="0"/>
    <xf numFmtId="0" fontId="0" fillId="0" borderId="113" pivotButton="0" quotePrefix="0" xfId="0"/>
    <xf numFmtId="171" fontId="0" fillId="0" borderId="44" applyAlignment="1" pivotButton="0" quotePrefix="0" xfId="0">
      <alignment vertical="center"/>
    </xf>
    <xf numFmtId="171" fontId="0" fillId="0" borderId="61" applyAlignment="1" pivotButton="0" quotePrefix="0" xfId="0">
      <alignment vertical="center"/>
    </xf>
    <xf numFmtId="171" fontId="0" fillId="0" borderId="60" applyAlignment="1" pivotButton="0" quotePrefix="0" xfId="0">
      <alignment vertical="center"/>
    </xf>
    <xf numFmtId="171" fontId="0" fillId="0" borderId="63" applyAlignment="1" pivotButton="0" quotePrefix="0" xfId="0">
      <alignment vertical="center"/>
    </xf>
    <xf numFmtId="171" fontId="0" fillId="0" borderId="62" applyAlignment="1" pivotButton="0" quotePrefix="0" xfId="0">
      <alignment vertical="center"/>
    </xf>
    <xf numFmtId="171" fontId="0" fillId="0" borderId="43" applyAlignment="1" pivotButton="0" quotePrefix="0" xfId="0">
      <alignment vertical="center"/>
    </xf>
    <xf numFmtId="174" fontId="0" fillId="0" borderId="56" applyAlignment="1" applyProtection="1" pivotButton="0" quotePrefix="0" xfId="0">
      <alignment horizontal="center" vertical="center"/>
      <protection locked="1" hidden="1"/>
    </xf>
    <xf numFmtId="171" fontId="16" fillId="0" borderId="53" applyAlignment="1" applyProtection="1" pivotButton="0" quotePrefix="0" xfId="0">
      <alignment vertical="center"/>
      <protection locked="0" hidden="1"/>
    </xf>
    <xf numFmtId="170" fontId="16" fillId="0" borderId="53" applyAlignment="1" applyProtection="1" pivotButton="0" quotePrefix="0" xfId="0">
      <alignment vertical="center"/>
      <protection locked="1" hidden="1"/>
    </xf>
    <xf numFmtId="171" fontId="16" fillId="0" borderId="53" applyAlignment="1" applyProtection="1" pivotButton="0" quotePrefix="0" xfId="0">
      <alignment vertical="center"/>
      <protection locked="0" hidden="0"/>
    </xf>
    <xf numFmtId="171" fontId="16" fillId="0" borderId="54" applyAlignment="1" applyProtection="1" pivotButton="0" quotePrefix="0" xfId="0">
      <alignment vertical="center"/>
      <protection locked="0" hidden="0"/>
    </xf>
    <xf numFmtId="171" fontId="3" fillId="0" borderId="53" applyAlignment="1" applyProtection="1" pivotButton="0" quotePrefix="0" xfId="0">
      <alignment vertical="center"/>
      <protection locked="0" hidden="0"/>
    </xf>
    <xf numFmtId="169" fontId="3" fillId="0" borderId="53" applyAlignment="1" applyProtection="1" pivotButton="0" quotePrefix="0" xfId="0">
      <alignment vertical="center"/>
      <protection locked="1" hidden="1"/>
    </xf>
    <xf numFmtId="169" fontId="0" fillId="0" borderId="52" applyAlignment="1" applyProtection="1" pivotButton="0" quotePrefix="0" xfId="0">
      <alignment vertical="center"/>
      <protection locked="1" hidden="1"/>
    </xf>
    <xf numFmtId="170" fontId="17" fillId="0" borderId="52" applyAlignment="1" applyProtection="1" pivotButton="0" quotePrefix="0" xfId="0">
      <alignment horizontal="center" vertical="center"/>
      <protection locked="0" hidden="0"/>
    </xf>
    <xf numFmtId="170" fontId="0" fillId="0" borderId="179" applyAlignment="1" applyProtection="1" pivotButton="0" quotePrefix="0" xfId="0">
      <alignment horizontal="left" vertical="center"/>
      <protection locked="0" hidden="0"/>
    </xf>
    <xf numFmtId="0" fontId="0" fillId="0" borderId="51" pivotButton="0" quotePrefix="0" xfId="0"/>
    <xf numFmtId="0" fontId="0" fillId="0" borderId="50" pivotButton="0" quotePrefix="0" xfId="0"/>
    <xf numFmtId="169" fontId="0" fillId="0" borderId="45" applyAlignment="1" applyProtection="1" pivotButton="0" quotePrefix="0" xfId="0">
      <alignment vertical="center"/>
      <protection locked="1" hidden="1"/>
    </xf>
    <xf numFmtId="169" fontId="0" fillId="0" borderId="49" applyAlignment="1" applyProtection="1" pivotButton="0" quotePrefix="0" xfId="0">
      <alignment vertical="center"/>
      <protection locked="1" hidden="1"/>
    </xf>
    <xf numFmtId="169" fontId="0" fillId="0" borderId="59" applyAlignment="1" pivotButton="0" quotePrefix="0" xfId="0">
      <alignment vertical="center"/>
    </xf>
    <xf numFmtId="169" fontId="0" fillId="0" borderId="47" applyAlignment="1" applyProtection="1" pivotButton="0" quotePrefix="0" xfId="0">
      <alignment vertical="center"/>
      <protection locked="1" hidden="1"/>
    </xf>
    <xf numFmtId="169" fontId="0" fillId="0" borderId="58" applyAlignment="1" pivotButton="0" quotePrefix="0" xfId="0">
      <alignment vertical="center"/>
    </xf>
    <xf numFmtId="169" fontId="0" fillId="0" borderId="48" applyAlignment="1" pivotButton="0" quotePrefix="0" xfId="0">
      <alignment vertical="center"/>
    </xf>
    <xf numFmtId="169" fontId="0" fillId="0" borderId="57" applyAlignment="1" pivotButton="0" quotePrefix="0" xfId="0">
      <alignment vertical="center"/>
    </xf>
    <xf numFmtId="171" fontId="0" fillId="0" borderId="0" applyAlignment="1" pivotButton="0" quotePrefix="0" xfId="0">
      <alignment vertical="center"/>
    </xf>
    <xf numFmtId="174" fontId="0" fillId="0" borderId="115" applyAlignment="1" applyProtection="1" pivotButton="0" quotePrefix="0" xfId="0">
      <alignment horizontal="center" vertical="center"/>
      <protection locked="1" hidden="1"/>
    </xf>
    <xf numFmtId="170" fontId="16" fillId="0" borderId="55" applyAlignment="1" applyProtection="1" pivotButton="0" quotePrefix="0" xfId="0">
      <alignment vertical="center"/>
      <protection locked="1" hidden="1"/>
    </xf>
    <xf numFmtId="169" fontId="0" fillId="0" borderId="116" applyAlignment="1" applyProtection="1" pivotButton="0" quotePrefix="0" xfId="0">
      <alignment vertical="center"/>
      <protection locked="1" hidden="1"/>
    </xf>
    <xf numFmtId="169" fontId="0" fillId="0" borderId="46" applyAlignment="1" pivotButton="0" quotePrefix="0" xfId="0">
      <alignment vertical="center"/>
    </xf>
    <xf numFmtId="0" fontId="0" fillId="0" borderId="184" applyAlignment="1" applyProtection="1" pivotButton="0" quotePrefix="0" xfId="0">
      <alignment horizontal="center" vertical="center"/>
      <protection locked="1" hidden="1"/>
    </xf>
    <xf numFmtId="0" fontId="0" fillId="0" borderId="183" pivotButton="0" quotePrefix="0" xfId="0"/>
    <xf numFmtId="171" fontId="16" fillId="0" borderId="117" applyAlignment="1" applyProtection="1" pivotButton="0" quotePrefix="0" xfId="0">
      <alignment vertical="center"/>
      <protection locked="1" hidden="1"/>
    </xf>
    <xf numFmtId="170" fontId="16" fillId="0" borderId="117" applyAlignment="1" applyProtection="1" pivotButton="0" quotePrefix="0" xfId="0">
      <alignment vertical="center"/>
      <protection locked="1" hidden="1"/>
    </xf>
    <xf numFmtId="171" fontId="3" fillId="8" borderId="117" applyAlignment="1" applyProtection="1" pivotButton="0" quotePrefix="0" xfId="0">
      <alignment vertical="center"/>
      <protection locked="1" hidden="1"/>
    </xf>
    <xf numFmtId="171" fontId="3" fillId="8" borderId="117" applyAlignment="1" applyProtection="1" pivotButton="0" quotePrefix="0" xfId="0">
      <alignment vertical="center" shrinkToFit="1"/>
      <protection locked="1" hidden="1"/>
    </xf>
    <xf numFmtId="170" fontId="3" fillId="8" borderId="117" applyAlignment="1" applyProtection="1" pivotButton="0" quotePrefix="0" xfId="0">
      <alignment vertical="center" shrinkToFit="1"/>
      <protection locked="1" hidden="1"/>
    </xf>
    <xf numFmtId="170" fontId="0" fillId="0" borderId="117" applyAlignment="1" applyProtection="1" pivotButton="0" quotePrefix="0" xfId="0">
      <alignment vertical="center" shrinkToFit="1"/>
      <protection locked="1" hidden="1"/>
    </xf>
    <xf numFmtId="178" fontId="0" fillId="0" borderId="97" applyAlignment="1" applyProtection="1" pivotButton="0" quotePrefix="0" xfId="0">
      <alignment horizontal="center" vertical="center" shrinkToFit="1"/>
      <protection locked="1" hidden="1"/>
    </xf>
    <xf numFmtId="171" fontId="0" fillId="0" borderId="181" applyAlignment="1" applyProtection="1" pivotButton="0" quotePrefix="0" xfId="0">
      <alignment horizontal="center" vertical="center" shrinkToFit="1"/>
      <protection locked="1" hidden="1"/>
    </xf>
    <xf numFmtId="0" fontId="0" fillId="0" borderId="97" pivotButton="0" quotePrefix="0" xfId="0"/>
    <xf numFmtId="174" fontId="0" fillId="0" borderId="0" applyAlignment="1" pivotButton="0" quotePrefix="0" xfId="0">
      <alignment vertical="center"/>
    </xf>
    <xf numFmtId="0" fontId="45" fillId="12" borderId="142" applyAlignment="1" applyProtection="1" pivotButton="0" quotePrefix="0" xfId="6">
      <alignment horizontal="center" vertical="center"/>
      <protection locked="1" hidden="1"/>
    </xf>
    <xf numFmtId="0" fontId="0" fillId="0" borderId="120" pivotButton="0" quotePrefix="0" xfId="0"/>
    <xf numFmtId="0" fontId="0" fillId="0" borderId="129" pivotButton="0" quotePrefix="0" xfId="0"/>
    <xf numFmtId="0" fontId="0" fillId="0" borderId="127" pivotButton="0" quotePrefix="0" xfId="0"/>
    <xf numFmtId="0" fontId="0" fillId="0" borderId="122" pivotButton="0" quotePrefix="0" xfId="0"/>
    <xf numFmtId="0" fontId="0" fillId="0" borderId="75" pivotButton="0" quotePrefix="0" xfId="0"/>
    <xf numFmtId="0" fontId="0" fillId="12" borderId="121" applyAlignment="1" pivotButton="0" quotePrefix="0" xfId="6">
      <alignment horizontal="center" vertical="center"/>
    </xf>
    <xf numFmtId="0" fontId="0" fillId="12" borderId="144" applyAlignment="1" pivotButton="0" quotePrefix="0" xfId="6">
      <alignment horizontal="center" vertical="center"/>
    </xf>
    <xf numFmtId="0" fontId="0" fillId="0" borderId="86" pivotButton="0" quotePrefix="0" xfId="0"/>
    <xf numFmtId="0" fontId="0" fillId="0" borderId="125" pivotButton="0" quotePrefix="0" xfId="0"/>
    <xf numFmtId="0" fontId="0" fillId="0" borderId="140" pivotButton="0" quotePrefix="0" xfId="0"/>
    <xf numFmtId="0" fontId="1" fillId="0" borderId="143" applyAlignment="1" pivotButton="0" quotePrefix="0" xfId="6">
      <alignment horizontal="center" vertical="center"/>
    </xf>
    <xf numFmtId="0" fontId="0" fillId="0" borderId="133" pivotButton="0" quotePrefix="0" xfId="0"/>
    <xf numFmtId="180" fontId="9" fillId="3" borderId="174" applyAlignment="1" applyProtection="1" pivotButton="0" quotePrefix="0" xfId="6">
      <alignment horizontal="center" vertical="center"/>
      <protection locked="1" hidden="1"/>
    </xf>
    <xf numFmtId="0" fontId="0" fillId="0" borderId="135" pivotButton="0" quotePrefix="0" xfId="0"/>
    <xf numFmtId="0" fontId="0" fillId="0" borderId="186" pivotButton="0" quotePrefix="0" xfId="0"/>
    <xf numFmtId="0" fontId="0" fillId="0" borderId="77" pivotButton="0" quotePrefix="0" xfId="0"/>
    <xf numFmtId="0" fontId="0" fillId="0" borderId="187" pivotButton="0" quotePrefix="0" xfId="0"/>
    <xf numFmtId="0" fontId="0" fillId="0" borderId="82" pivotButton="0" quotePrefix="0" xfId="0"/>
    <xf numFmtId="0" fontId="0" fillId="0" borderId="102" pivotButton="0" quotePrefix="0" xfId="0"/>
    <xf numFmtId="175" fontId="32" fillId="13" borderId="188" applyAlignment="1" applyProtection="1" pivotButton="0" quotePrefix="0" xfId="0">
      <alignment horizontal="center" vertical="center"/>
      <protection locked="1" hidden="1"/>
    </xf>
    <xf numFmtId="0" fontId="0" fillId="0" borderId="74" pivotButton="0" quotePrefix="0" xfId="0"/>
    <xf numFmtId="175" fontId="29" fillId="13" borderId="0" applyAlignment="1" pivotButton="0" quotePrefix="0" xfId="0">
      <alignment horizontal="left"/>
    </xf>
    <xf numFmtId="175" fontId="29" fillId="13" borderId="0" pivotButton="0" quotePrefix="0" xfId="0"/>
    <xf numFmtId="179" fontId="7" fillId="11" borderId="0" applyAlignment="1" pivotButton="0" quotePrefix="0" xfId="0">
      <alignment horizontal="right"/>
    </xf>
    <xf numFmtId="176" fontId="30" fillId="3" borderId="84" pivotButton="0" quotePrefix="0" xfId="6"/>
    <xf numFmtId="0" fontId="31" fillId="12" borderId="107" applyAlignment="1" pivotButton="0" quotePrefix="0" xfId="6">
      <alignment horizontal="center" vertical="center"/>
    </xf>
    <xf numFmtId="175" fontId="7" fillId="12" borderId="120" applyAlignment="1" applyProtection="1" pivotButton="0" quotePrefix="0" xfId="6">
      <alignment horizontal="right"/>
      <protection locked="0" hidden="0"/>
    </xf>
    <xf numFmtId="175" fontId="7" fillId="12" borderId="120" applyProtection="1" pivotButton="0" quotePrefix="0" xfId="6">
      <protection locked="0" hidden="0"/>
    </xf>
    <xf numFmtId="175" fontId="7" fillId="11" borderId="0" applyAlignment="1" applyProtection="1" pivotButton="0" quotePrefix="0" xfId="6">
      <alignment horizontal="right"/>
      <protection locked="0" hidden="0"/>
    </xf>
    <xf numFmtId="175" fontId="7" fillId="11" borderId="0" applyProtection="1" pivotButton="0" quotePrefix="0" xfId="6">
      <protection locked="0" hidden="0"/>
    </xf>
    <xf numFmtId="175" fontId="7" fillId="12" borderId="0" applyAlignment="1" applyProtection="1" pivotButton="0" quotePrefix="0" xfId="6">
      <alignment horizontal="right" vertical="center"/>
      <protection locked="0" hidden="0"/>
    </xf>
    <xf numFmtId="175" fontId="7" fillId="12" borderId="0" applyAlignment="1" applyProtection="1" pivotButton="0" quotePrefix="0" xfId="6">
      <alignment vertical="center"/>
      <protection locked="0" hidden="0"/>
    </xf>
    <xf numFmtId="175" fontId="7" fillId="11" borderId="0" applyAlignment="1" applyProtection="1" pivotButton="0" quotePrefix="0" xfId="6">
      <alignment vertical="center"/>
      <protection locked="0" hidden="0"/>
    </xf>
    <xf numFmtId="175" fontId="7" fillId="12" borderId="0" applyAlignment="1" applyProtection="1" pivotButton="0" quotePrefix="0" xfId="6">
      <alignment horizontal="left" vertical="center"/>
      <protection locked="0" hidden="0"/>
    </xf>
    <xf numFmtId="175" fontId="7" fillId="11" borderId="0" applyAlignment="1" applyProtection="1" pivotButton="0" quotePrefix="0" xfId="6">
      <alignment horizontal="right" vertical="center"/>
      <protection locked="0" hidden="0"/>
    </xf>
    <xf numFmtId="175" fontId="12" fillId="12" borderId="0" applyAlignment="1" applyProtection="1" pivotButton="0" quotePrefix="0" xfId="6">
      <alignment horizontal="right" vertical="center"/>
      <protection locked="0" hidden="0"/>
    </xf>
    <xf numFmtId="179" fontId="7" fillId="12" borderId="0" applyAlignment="1" applyProtection="1" pivotButton="0" quotePrefix="0" xfId="6">
      <alignment horizontal="left" vertical="center"/>
      <protection locked="0" hidden="0"/>
    </xf>
    <xf numFmtId="175" fontId="12" fillId="12" borderId="0" applyAlignment="1" applyProtection="1" pivotButton="0" quotePrefix="0" xfId="6">
      <alignment horizontal="right" vertical="top"/>
      <protection locked="0" hidden="0"/>
    </xf>
    <xf numFmtId="175" fontId="12" fillId="11" borderId="0" applyAlignment="1" applyProtection="1" pivotButton="0" quotePrefix="0" xfId="6">
      <alignment horizontal="right"/>
      <protection locked="0" hidden="0"/>
    </xf>
    <xf numFmtId="175" fontId="7" fillId="11" borderId="175" applyAlignment="1" applyProtection="1" pivotButton="0" quotePrefix="0" xfId="6">
      <alignment vertical="center"/>
      <protection locked="0" hidden="0"/>
    </xf>
    <xf numFmtId="175" fontId="12" fillId="11" borderId="175" applyAlignment="1" applyProtection="1" pivotButton="0" quotePrefix="0" xfId="6">
      <alignment horizontal="right"/>
      <protection locked="0" hidden="0"/>
    </xf>
    <xf numFmtId="175" fontId="7" fillId="11" borderId="175" applyAlignment="1" applyProtection="1" pivotButton="0" quotePrefix="0" xfId="6">
      <alignment horizontal="right" vertical="center"/>
      <protection locked="0" hidden="0"/>
    </xf>
    <xf numFmtId="175" fontId="7" fillId="11" borderId="102" applyAlignment="1" applyProtection="1" pivotButton="0" quotePrefix="0" xfId="6">
      <alignment vertical="center"/>
      <protection locked="0" hidden="0"/>
    </xf>
    <xf numFmtId="175" fontId="0" fillId="11" borderId="0" applyProtection="1" pivotButton="0" quotePrefix="0" xfId="6">
      <protection locked="0" hidden="0"/>
    </xf>
    <xf numFmtId="175" fontId="0" fillId="0" borderId="0" applyProtection="1" pivotButton="0" quotePrefix="0" xfId="6">
      <protection locked="0" hidden="0"/>
    </xf>
    <xf numFmtId="177" fontId="0" fillId="0" borderId="0" applyProtection="1" pivotButton="0" quotePrefix="0" xfId="6">
      <protection locked="1" hidden="1"/>
    </xf>
    <xf numFmtId="175" fontId="1" fillId="0" borderId="160" applyAlignment="1" applyProtection="1" pivotButton="0" quotePrefix="0" xfId="6">
      <alignment horizontal="left"/>
      <protection locked="1" hidden="1"/>
    </xf>
    <xf numFmtId="177" fontId="12" fillId="0" borderId="105" applyAlignment="1" applyProtection="1" pivotButton="0" quotePrefix="0" xfId="6">
      <alignment horizontal="left" vertical="center"/>
      <protection locked="1" hidden="1"/>
    </xf>
    <xf numFmtId="175" fontId="0" fillId="0" borderId="161" applyAlignment="1" applyProtection="1" pivotButton="0" quotePrefix="0" xfId="6">
      <alignment horizontal="left"/>
      <protection locked="1" hidden="1"/>
    </xf>
    <xf numFmtId="177" fontId="0" fillId="0" borderId="161" applyAlignment="1" applyProtection="1" pivotButton="0" quotePrefix="0" xfId="0">
      <alignment horizontal="left" vertical="center"/>
      <protection locked="1" hidden="1"/>
    </xf>
    <xf numFmtId="175" fontId="0" fillId="0" borderId="161" applyAlignment="1" applyProtection="1" pivotButton="0" quotePrefix="0" xfId="0">
      <alignment horizontal="left" vertical="center"/>
      <protection locked="1" hidden="1"/>
    </xf>
    <xf numFmtId="177" fontId="1" fillId="0" borderId="162" applyAlignment="1" applyProtection="1" pivotButton="0" quotePrefix="0" xfId="6">
      <alignment horizontal="left" vertical="center"/>
      <protection locked="1" hidden="1"/>
    </xf>
    <xf numFmtId="177" fontId="1" fillId="0" borderId="160" applyAlignment="1" applyProtection="1" pivotButton="0" quotePrefix="0" xfId="6">
      <alignment horizontal="left" vertical="center"/>
      <protection locked="1" hidden="1"/>
    </xf>
    <xf numFmtId="177" fontId="12" fillId="0" borderId="163" applyAlignment="1" applyProtection="1" pivotButton="0" quotePrefix="0" xfId="6">
      <alignment horizontal="left" vertical="center"/>
      <protection locked="1" hidden="1"/>
    </xf>
    <xf numFmtId="177" fontId="1" fillId="0" borderId="161" applyAlignment="1" applyProtection="1" pivotButton="0" quotePrefix="0" xfId="6">
      <alignment horizontal="left" vertical="center"/>
      <protection locked="1" hidden="1"/>
    </xf>
    <xf numFmtId="0" fontId="0" fillId="0" borderId="189" pivotButton="0" quotePrefix="0" xfId="0"/>
    <xf numFmtId="0" fontId="0" fillId="0" borderId="126" pivotButton="0" quotePrefix="0" xfId="0"/>
    <xf numFmtId="0" fontId="0" fillId="0" borderId="106" pivotButton="0" quotePrefix="0" xfId="0"/>
    <xf numFmtId="0" fontId="0" fillId="0" borderId="131" pivotButton="0" quotePrefix="0" xfId="0"/>
    <xf numFmtId="0" fontId="0" fillId="0" borderId="80" pivotButton="0" quotePrefix="0" xfId="0"/>
    <xf numFmtId="181" fontId="9" fillId="3" borderId="72" applyAlignment="1" applyProtection="1" pivotButton="0" quotePrefix="0" xfId="7">
      <alignment horizontal="center" vertical="center"/>
      <protection locked="1" hidden="1"/>
    </xf>
    <xf numFmtId="0" fontId="0" fillId="0" borderId="2" pivotButton="0" quotePrefix="0" xfId="0"/>
    <xf numFmtId="0" fontId="0" fillId="0" borderId="85" pivotButton="0" quotePrefix="0" xfId="0"/>
    <xf numFmtId="0" fontId="3" fillId="3" borderId="126" applyAlignment="1" pivotButton="0" quotePrefix="0" xfId="7">
      <alignment horizontal="center"/>
    </xf>
    <xf numFmtId="175" fontId="12" fillId="3" borderId="0" applyAlignment="1" applyProtection="1" pivotButton="0" quotePrefix="0" xfId="7">
      <alignment horizontal="center"/>
      <protection locked="1" hidden="1"/>
    </xf>
    <xf numFmtId="175" fontId="0" fillId="0" borderId="0" applyAlignment="1" applyProtection="1" pivotButton="0" quotePrefix="0" xfId="7">
      <alignment horizontal="center"/>
      <protection locked="1" hidden="1"/>
    </xf>
    <xf numFmtId="3" fontId="7" fillId="3" borderId="2" applyAlignment="1" applyProtection="1" pivotButton="0" quotePrefix="0" xfId="7">
      <alignment horizontal="center" vertical="center"/>
      <protection locked="0" hidden="0"/>
    </xf>
    <xf numFmtId="0" fontId="0" fillId="0" borderId="83" pivotButton="0" quotePrefix="0" xfId="0"/>
    <xf numFmtId="0" fontId="1" fillId="0" borderId="125" applyAlignment="1" pivotButton="0" quotePrefix="0" xfId="7">
      <alignment horizontal="center" vertical="center"/>
    </xf>
    <xf numFmtId="182" fontId="4" fillId="0" borderId="25" applyAlignment="1" applyProtection="1" pivotButton="0" quotePrefix="0" xfId="4">
      <alignment horizontal="center" vertical="center"/>
      <protection locked="1" hidden="1"/>
    </xf>
    <xf numFmtId="0" fontId="0" fillId="0" borderId="25" pivotButton="0" quotePrefix="0" xfId="0"/>
    <xf numFmtId="166" fontId="4" fillId="0" borderId="0" applyAlignment="1" pivotButton="0" quotePrefix="0" xfId="4">
      <alignment horizontal="right" vertical="center"/>
    </xf>
    <xf numFmtId="166" fontId="5" fillId="0" borderId="0" applyAlignment="1" pivotButton="0" quotePrefix="0" xfId="4">
      <alignment horizontal="right" vertical="center"/>
    </xf>
    <xf numFmtId="166" fontId="6" fillId="0" borderId="0" applyAlignment="1" pivotButton="0" quotePrefix="0" xfId="4">
      <alignment horizontal="center" vertical="center"/>
    </xf>
    <xf numFmtId="166" fontId="5" fillId="0" borderId="0" applyAlignment="1" pivotButton="0" quotePrefix="0" xfId="4">
      <alignment vertical="center"/>
    </xf>
    <xf numFmtId="0" fontId="14" fillId="0" borderId="147" applyAlignment="1" applyProtection="1" pivotButton="0" quotePrefix="0" xfId="4">
      <alignment vertical="center"/>
      <protection locked="1" hidden="1"/>
    </xf>
    <xf numFmtId="0" fontId="0" fillId="0" borderId="146" pivotButton="0" quotePrefix="0" xfId="0"/>
    <xf numFmtId="0" fontId="0" fillId="0" borderId="147" pivotButton="0" quotePrefix="0" xfId="0"/>
    <xf numFmtId="0" fontId="14" fillId="0" borderId="150" applyAlignment="1" applyProtection="1" pivotButton="0" quotePrefix="0" xfId="4">
      <alignment vertical="center"/>
      <protection locked="1" hidden="1"/>
    </xf>
    <xf numFmtId="0" fontId="0" fillId="0" borderId="149" pivotButton="0" quotePrefix="0" xfId="0"/>
    <xf numFmtId="0" fontId="0" fillId="0" borderId="150" pivotButton="0" quotePrefix="0" xfId="0"/>
    <xf numFmtId="0" fontId="9" fillId="0" borderId="106" applyAlignment="1" applyProtection="1" pivotButton="0" quotePrefix="0" xfId="4">
      <alignment vertical="center"/>
      <protection locked="1" hidden="1"/>
    </xf>
    <xf numFmtId="0" fontId="0" fillId="0" borderId="191" pivotButton="0" quotePrefix="0" xfId="0"/>
    <xf numFmtId="0" fontId="0" fillId="0" borderId="192" pivotButton="0" quotePrefix="0" xfId="0"/>
    <xf numFmtId="0" fontId="0" fillId="0" borderId="16" pivotButton="0" quotePrefix="0" xfId="0"/>
    <xf numFmtId="0" fontId="0" fillId="0" borderId="13" pivotButton="0" quotePrefix="0" xfId="0"/>
    <xf numFmtId="0" fontId="0" fillId="0" borderId="195" pivotButton="0" quotePrefix="0" xfId="0"/>
    <xf numFmtId="167" fontId="0" fillId="0" borderId="15" applyAlignment="1" applyProtection="1" pivotButton="0" quotePrefix="0" xfId="4">
      <alignment horizontal="center" vertical="center"/>
      <protection locked="0" hidden="0"/>
    </xf>
    <xf numFmtId="168" fontId="12" fillId="0" borderId="16" applyAlignment="1" applyProtection="1" pivotButton="0" quotePrefix="0" xfId="1">
      <alignment vertical="center"/>
      <protection locked="0" hidden="0"/>
    </xf>
    <xf numFmtId="168" fontId="0" fillId="0" borderId="16" applyAlignment="1" applyProtection="1" pivotButton="0" quotePrefix="0" xfId="1">
      <alignment vertical="center"/>
      <protection locked="0" hidden="0"/>
    </xf>
    <xf numFmtId="0" fontId="0" fillId="0" borderId="27" pivotButton="0" quotePrefix="0" xfId="0"/>
    <xf numFmtId="168" fontId="0" fillId="0" borderId="27" applyAlignment="1" applyProtection="1" pivotButton="0" quotePrefix="0" xfId="0">
      <alignment vertical="center"/>
      <protection locked="0" hidden="0"/>
    </xf>
    <xf numFmtId="0" fontId="0" fillId="0" borderId="198" applyAlignment="1" applyProtection="1" pivotButton="0" quotePrefix="0" xfId="0">
      <alignment horizontal="center" vertical="center"/>
      <protection locked="0" hidden="0"/>
    </xf>
    <xf numFmtId="0" fontId="0" fillId="0" borderId="37" pivotButton="0" quotePrefix="0" xfId="0"/>
    <xf numFmtId="0" fontId="0" fillId="0" borderId="200" applyAlignment="1" applyProtection="1" pivotButton="0" quotePrefix="0" xfId="0">
      <alignment horizontal="center" vertical="center"/>
      <protection locked="0" hidden="0"/>
    </xf>
    <xf numFmtId="168" fontId="0" fillId="0" borderId="30" applyAlignment="1" applyProtection="1" pivotButton="0" quotePrefix="0" xfId="0">
      <alignment vertical="center"/>
      <protection locked="0" hidden="0"/>
    </xf>
    <xf numFmtId="0" fontId="0" fillId="0" borderId="201" applyAlignment="1" applyProtection="1" pivotButton="0" quotePrefix="0" xfId="0">
      <alignment horizontal="center" vertical="center"/>
      <protection locked="0" hidden="0"/>
    </xf>
    <xf numFmtId="0" fontId="0" fillId="0" borderId="40" pivotButton="0" quotePrefix="0" xfId="0"/>
    <xf numFmtId="0" fontId="0" fillId="0" borderId="202" applyAlignment="1" applyProtection="1" pivotButton="0" quotePrefix="0" xfId="0">
      <alignment horizontal="center" vertical="center"/>
      <protection locked="0" hidden="0"/>
    </xf>
    <xf numFmtId="0" fontId="0" fillId="0" borderId="34" pivotButton="0" quotePrefix="0" xfId="0"/>
    <xf numFmtId="168" fontId="0" fillId="0" borderId="18" applyAlignment="1" pivotButton="0" quotePrefix="0" xfId="1">
      <alignment vertical="center"/>
    </xf>
    <xf numFmtId="168" fontId="0" fillId="0" borderId="0" applyAlignment="1" pivotButton="0" quotePrefix="0" xfId="1">
      <alignment vertical="center"/>
    </xf>
    <xf numFmtId="0" fontId="0" fillId="0" borderId="207" pivotButton="0" quotePrefix="0" xfId="0"/>
    <xf numFmtId="168" fontId="10" fillId="7" borderId="21" applyAlignment="1" applyProtection="1" pivotButton="0" quotePrefix="0" xfId="4">
      <alignment vertical="center"/>
      <protection locked="1" hidden="1"/>
    </xf>
    <xf numFmtId="0" fontId="0" fillId="0" borderId="204" pivotButton="0" quotePrefix="0" xfId="0"/>
    <xf numFmtId="0" fontId="0" fillId="0" borderId="206" pivotButton="0" quotePrefix="0" xfId="0"/>
    <xf numFmtId="0" fontId="0" fillId="0" borderId="209" pivotButton="0" quotePrefix="0" xfId="0"/>
    <xf numFmtId="0" fontId="0" fillId="0" borderId="212" pivotButton="0" quotePrefix="0" xfId="0"/>
    <xf numFmtId="0" fontId="37" fillId="12" borderId="107" applyAlignment="1" pivotButton="0" quotePrefix="0" xfId="8">
      <alignment horizontal="center" vertical="center"/>
    </xf>
    <xf numFmtId="0" fontId="0" fillId="0" borderId="214" pivotButton="0" quotePrefix="0" xfId="0"/>
    <xf numFmtId="0" fontId="0" fillId="0" borderId="208" pivotButton="0" quotePrefix="0" xfId="0"/>
    <xf numFmtId="0" fontId="0" fillId="0" borderId="215" pivotButton="0" quotePrefix="0" xfId="0"/>
    <xf numFmtId="0" fontId="0" fillId="0" borderId="17" pivotButton="0" quotePrefix="0" xfId="0"/>
    <xf numFmtId="0" fontId="0" fillId="0" borderId="216" pivotButton="0" quotePrefix="0" xfId="0"/>
    <xf numFmtId="0" fontId="0" fillId="0" borderId="217" pivotButton="0" quotePrefix="0" xfId="0"/>
    <xf numFmtId="0" fontId="0" fillId="0" borderId="218" pivotButton="0" quotePrefix="0" xfId="0"/>
    <xf numFmtId="180" fontId="36" fillId="12" borderId="107" applyAlignment="1" applyProtection="1" pivotButton="0" quotePrefix="0" xfId="8">
      <alignment horizontal="center" vertical="center"/>
      <protection locked="1" hidden="1"/>
    </xf>
    <xf numFmtId="175" fontId="33" fillId="12" borderId="0" applyAlignment="1" applyProtection="1" pivotButton="0" quotePrefix="0" xfId="8">
      <alignment horizontal="center"/>
      <protection locked="1" hidden="1"/>
    </xf>
    <xf numFmtId="175" fontId="33" fillId="12" borderId="0" applyAlignment="1" pivotButton="0" quotePrefix="0" xfId="8">
      <alignment horizontal="center"/>
    </xf>
    <xf numFmtId="0" fontId="41" fillId="12" borderId="142" applyAlignment="1" pivotButton="0" quotePrefix="0" xfId="8">
      <alignment horizontal="center"/>
    </xf>
    <xf numFmtId="0" fontId="33" fillId="11" borderId="213" applyProtection="1" pivotButton="0" quotePrefix="0" xfId="8">
      <protection locked="0" hidden="0"/>
    </xf>
    <xf numFmtId="0" fontId="0" fillId="0" borderId="165" pivotButton="0" quotePrefix="0" xfId="0"/>
    <xf numFmtId="0" fontId="0" fillId="0" borderId="166" pivotButton="0" quotePrefix="0" xfId="0"/>
    <xf numFmtId="0" fontId="0" fillId="0" borderId="104" pivotButton="0" quotePrefix="0" xfId="0"/>
    <xf numFmtId="0" fontId="0" fillId="0" borderId="128" pivotButton="0" quotePrefix="0" xfId="0"/>
    <xf numFmtId="172" fontId="0" fillId="0" borderId="0" applyAlignment="1" pivotButton="0" quotePrefix="0" xfId="0">
      <alignment vertical="center"/>
    </xf>
    <xf numFmtId="172" fontId="0" fillId="14" borderId="0" applyAlignment="1" pivotButton="0" quotePrefix="0" xfId="0">
      <alignment vertical="center"/>
    </xf>
    <xf numFmtId="172" fontId="0" fillId="0" borderId="0" applyAlignment="1" pivotButton="0" quotePrefix="0" xfId="0">
      <alignment horizontal="right" vertical="center"/>
    </xf>
    <xf numFmtId="173" fontId="0" fillId="0" borderId="0" applyAlignment="1" pivotButton="0" quotePrefix="0" xfId="0">
      <alignment horizontal="right" vertical="center"/>
    </xf>
    <xf numFmtId="172" fontId="0" fillId="14" borderId="0" applyAlignment="1" pivotButton="0" quotePrefix="0" xfId="0">
      <alignment horizontal="right" vertical="center"/>
    </xf>
    <xf numFmtId="173" fontId="0" fillId="14" borderId="0" applyAlignment="1" pivotButton="0" quotePrefix="0" xfId="0">
      <alignment vertical="center"/>
    </xf>
    <xf numFmtId="0" fontId="0" fillId="0" borderId="163" pivotButton="0" quotePrefix="0" xfId="0"/>
  </cellXfs>
  <cellStyles count="10">
    <cellStyle name="標準" xfId="0" builtinId="0"/>
    <cellStyle name="桁区切り" xfId="1" builtinId="6"/>
    <cellStyle name="標準_exPro交通費精算書v2free" xfId="2"/>
    <cellStyle name="標準_Sheet1" xfId="3"/>
    <cellStyle name="標準_勤怠表2002ITEC" xfId="4"/>
    <cellStyle name="標準 2" xfId="5"/>
    <cellStyle name="標準 4" xfId="6"/>
    <cellStyle name="標準 3" xfId="7"/>
    <cellStyle name="標準 5" xfId="8"/>
    <cellStyle name="ハイパーリンク" xfId="9" builtinId="8"/>
  </cellStyles>
  <dxfs count="67">
    <dxf>
      <font>
        <color auto="1"/>
      </font>
      <fill>
        <patternFill>
          <bgColor rgb="FFFF5050"/>
        </patternFill>
      </fill>
    </dxf>
    <dxf>
      <fill>
        <patternFill>
          <bgColor rgb="FFFF5D5D"/>
        </patternFill>
      </fill>
    </dxf>
    <dxf>
      <fill>
        <patternFill>
          <bgColor rgb="FFFF7C80"/>
        </patternFill>
      </fill>
    </dxf>
    <dxf>
      <fill>
        <patternFill>
          <bgColor rgb="FFFF7C80"/>
        </patternFill>
      </fill>
    </dxf>
    <dxf>
      <fill>
        <patternFill>
          <bgColor rgb="FFFFABAB"/>
        </patternFill>
      </fill>
    </dxf>
    <dxf>
      <fill>
        <patternFill>
          <bgColor rgb="FFFFABAB"/>
        </patternFill>
      </fill>
    </dxf>
    <dxf>
      <fill>
        <patternFill>
          <bgColor rgb="FFFF9999"/>
        </patternFill>
      </fill>
    </dxf>
    <dxf>
      <fill>
        <patternFill>
          <bgColor rgb="FFFF7C80"/>
        </patternFill>
      </fill>
    </dxf>
    <dxf>
      <font>
        <color theme="0"/>
      </font>
      <numFmt numFmtId="195" formatCode=";;;"/>
      <fill>
        <patternFill>
          <bgColor theme="0"/>
        </patternFill>
      </fill>
    </dxf>
    <dxf>
      <font>
        <color theme="0"/>
      </font>
      <numFmt numFmtId="195" formatCode=";;;"/>
      <fill>
        <patternFill>
          <bgColor theme="0"/>
        </patternFill>
      </fill>
    </dxf>
    <dxf>
      <fill>
        <patternFill>
          <bgColor rgb="FFFFCCCC"/>
        </patternFill>
      </fill>
    </dxf>
    <dxf>
      <fill>
        <patternFill>
          <bgColor rgb="FFFFCCCC"/>
        </patternFill>
      </fill>
    </dxf>
    <dxf>
      <fill>
        <patternFill>
          <bgColor rgb="FFFF9999"/>
        </patternFill>
      </fill>
    </dxf>
    <dxf>
      <fill>
        <patternFill>
          <bgColor rgb="FFFF9999"/>
        </patternFill>
      </fill>
    </dxf>
    <dxf>
      <fill>
        <patternFill>
          <bgColor theme="0"/>
        </patternFill>
      </fill>
    </dxf>
    <dxf>
      <font>
        <b val="1"/>
      </font>
      <fill>
        <patternFill>
          <bgColor rgb="FFFFABAB"/>
        </patternFill>
      </fill>
    </dxf>
    <dxf>
      <fill>
        <patternFill>
          <bgColor theme="7" tint="0.5999633777886288"/>
        </patternFill>
      </fill>
    </dxf>
    <dxf>
      <fill>
        <patternFill>
          <bgColor rgb="FFFF9999"/>
        </patternFill>
      </fill>
    </dxf>
    <dxf>
      <fill>
        <patternFill>
          <bgColor rgb="FFFF9999"/>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rgb="FFFF9999"/>
        </patternFill>
      </fill>
    </dxf>
    <dxf>
      <fill>
        <patternFill>
          <bgColor rgb="FFFF7C80"/>
        </patternFill>
      </fill>
    </dxf>
    <dxf>
      <fill>
        <patternFill>
          <bgColor rgb="FFFF9999"/>
        </patternFill>
      </fill>
    </dxf>
    <dxf>
      <fill>
        <patternFill>
          <bgColor rgb="FFFF9999"/>
        </patternFill>
      </fill>
    </dxf>
    <dxf>
      <fill>
        <patternFill>
          <bgColor theme="0"/>
        </patternFill>
      </fill>
    </dxf>
    <dxf>
      <font>
        <color auto="1"/>
      </font>
      <fill>
        <patternFill>
          <bgColor rgb="FFFFCCCC"/>
        </patternFill>
      </fill>
    </dxf>
    <dxf>
      <font>
        <color auto="1"/>
      </font>
      <fill>
        <patternFill>
          <bgColor theme="8" tint="0.5999633777886288"/>
        </patternFill>
      </fill>
    </dxf>
    <dxf>
      <fill>
        <patternFill>
          <bgColor rgb="FFFF9999"/>
        </patternFill>
      </fill>
    </dxf>
    <dxf>
      <fill>
        <patternFill>
          <bgColor rgb="FFFF9999"/>
        </patternFill>
      </fill>
    </dxf>
    <dxf>
      <fill>
        <patternFill>
          <bgColor rgb="FFE2A7FF"/>
        </patternFill>
      </fill>
    </dxf>
    <dxf>
      <fill>
        <patternFill>
          <bgColor rgb="FFE2A7FF"/>
        </patternFill>
      </fill>
    </dxf>
    <dxf>
      <fill>
        <patternFill>
          <bgColor rgb="FFE4AFFF"/>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ill>
        <patternFill>
          <bgColor rgb="FFFF7C80"/>
        </patternFill>
      </fill>
    </dxf>
    <dxf>
      <fill>
        <patternFill>
          <bgColor rgb="FFFF9999"/>
        </patternFill>
      </fill>
    </dxf>
    <dxf>
      <fill>
        <patternFill>
          <bgColor rgb="FFFF7C80"/>
        </patternFill>
      </fill>
    </dxf>
    <dxf>
      <fill>
        <patternFill>
          <bgColor rgb="FFFF9999"/>
        </patternFill>
      </fill>
    </dxf>
    <dxf>
      <fill>
        <patternFill>
          <bgColor theme="0"/>
        </patternFill>
      </fill>
    </dxf>
    <dxf>
      <font>
        <color auto="1"/>
      </font>
      <fill>
        <patternFill>
          <bgColor rgb="FFFFCCCC"/>
        </patternFill>
      </fill>
    </dxf>
    <dxf>
      <font>
        <color auto="1"/>
      </font>
      <fill>
        <patternFill>
          <bgColor theme="8" tint="0.5999633777886288"/>
        </patternFill>
      </fill>
    </dxf>
    <dxf>
      <font>
        <color auto="1"/>
      </font>
      <fill>
        <patternFill>
          <bgColor rgb="FFFFCCCC"/>
        </patternFill>
      </fill>
    </dxf>
    <dxf>
      <font>
        <color auto="1"/>
      </font>
      <fill>
        <patternFill>
          <bgColor theme="8" tint="0.5999633777886288"/>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ont>
        <color auto="1"/>
      </font>
      <fill>
        <patternFill>
          <bgColor rgb="FFFFCCCC"/>
        </patternFill>
      </fill>
    </dxf>
    <dxf>
      <font>
        <color auto="1"/>
      </font>
      <fill>
        <patternFill>
          <bgColor theme="8" tint="0.5999633777886288"/>
        </patternFill>
      </fill>
    </dxf>
    <dxf>
      <font>
        <color theme="1"/>
      </font>
      <fill>
        <patternFill patternType="solid">
          <fgColor indexed="64"/>
          <bgColor rgb="FFFF9999"/>
        </patternFill>
      </fill>
    </dxf>
    <dxf>
      <font>
        <color theme="1"/>
      </font>
      <fill>
        <patternFill patternType="solid">
          <fgColor indexed="64"/>
          <bgColor rgb="FFFF9999"/>
        </patternFill>
      </fill>
    </dxf>
    <dxf>
      <fill>
        <patternFill>
          <bgColor rgb="FFFF9999"/>
        </patternFill>
      </fill>
    </dxf>
    <dxf>
      <fill>
        <patternFill>
          <bgColor rgb="FFFF9999"/>
        </patternFill>
      </fill>
    </dxf>
    <dxf>
      <fill>
        <patternFill>
          <bgColor rgb="FFFF9999"/>
        </patternFill>
      </fill>
    </dxf>
    <dxf>
      <fill>
        <patternFill>
          <bgColor rgb="FFFF9999"/>
        </patternFill>
      </fill>
    </dxf>
    <dxf>
      <fill>
        <patternFill>
          <bgColor rgb="FFFFABAB"/>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externalLink" Target="/xl/externalLinks/externalLink1.xml" Id="rId11" /><Relationship Type="http://schemas.openxmlformats.org/officeDocument/2006/relationships/externalLink" Target="/xl/externalLinks/externalLink2.xml" Id="rId12" /><Relationship Type="http://schemas.openxmlformats.org/officeDocument/2006/relationships/externalLink" Target="/xl/externalLinks/externalLink3.xml" Id="rId13" /><Relationship Type="http://schemas.openxmlformats.org/officeDocument/2006/relationships/externalLink" Target="/xl/externalLinks/externalLink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Users/mailm/OneDrive/01_&#12479;&#12473;&#12463;/02_&#9733;&#12471;&#12511;&#12517;&#12524;&#12540;&#12471;&#12519;&#12531;&#35531;&#27714;&#26360;&#20316;&#25104;/&#9733;&#9733;&#35531;&#27714;&#12487;&#12540;&#12479;&#20316;&#25104;&#12484;&#12540;&#12523;_Ver.2.0_20171204.xlsm" TargetMode="External" Id="rId1" /></Relationships>
</file>

<file path=xl/externalLinks/_rels/externalLink2.xml.rels><Relationships xmlns="http://schemas.openxmlformats.org/package/2006/relationships"><Relationship Type="http://schemas.microsoft.com/office/2006/relationships/xlExternalLinkPath/xlPathMissing" Target="1998&#24180;&#24230;&#24115;&#31807;.xls" TargetMode="External" Id="rId1" /></Relationships>
</file>

<file path=xl/externalLinks/_rels/externalLink3.xml.rels><Relationships xmlns="http://schemas.openxmlformats.org/package/2006/relationships"><Relationship Type="http://schemas.openxmlformats.org/officeDocument/2006/relationships/externalLinkPath" Target="file:///\\SERVER\F\&#20195;&#34920;&#21462;&#32224;&#24441;&#31649;&#29702;\&#32076;&#29702;\usr\Book2.csv" TargetMode="External" Id="rId1" /></Relationships>
</file>

<file path=xl/externalLinks/_rels/externalLink4.xml.rels><Relationships xmlns="http://schemas.openxmlformats.org/package/2006/relationships"><Relationship Type="http://schemas.openxmlformats.org/officeDocument/2006/relationships/externalLinkPath" Target="/Users/air/Documents/&#20181;&#20107;/&#31649;&#29702;/&#26376;&#26411;&#26360;&#39006;/2016&#24180;/2016&#24180;9&#26376;/&#22528;&#30000;&#21644;&#23597;/Book2.csv"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MAIN"/>
      <sheetName val="請求書"/>
      <sheetName val="会社情報"/>
      <sheetName val="郵送送付状"/>
      <sheetName val="請求先マスタ"/>
      <sheetName val="祝日リスト"/>
    </sheetNames>
    <sheetDataSet>
      <sheetData sheetId="0"/>
      <sheetData sheetId="1"/>
      <sheetData sheetId="2"/>
      <sheetData sheetId="3"/>
      <sheetData sheetId="4">
        <row r="2">
          <cell r="B2" t="str">
            <v>OCO-PPT-OCO-001</v>
          </cell>
        </row>
        <row r="3">
          <cell r="B3" t="str">
            <v>OCO-PPT-OCO-002</v>
          </cell>
        </row>
        <row r="4">
          <cell r="B4" t="str">
            <v>OCO-PPT-OCO-003</v>
          </cell>
        </row>
        <row r="5">
          <cell r="B5" t="str">
            <v>OCO-PPT-OCO-004</v>
          </cell>
        </row>
        <row r="6">
          <cell r="B6" t="str">
            <v>OCO-PPT-OCO-005</v>
          </cell>
        </row>
      </sheetData>
      <sheetData sheetId="5"/>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元帳 (2)"/>
      <sheetName val="コード"/>
      <sheetName val="元帳"/>
    </sheetNames>
    <sheetDataSet>
      <sheetData sheetId="0"/>
      <sheetData sheetId="1">
        <row r="1">
          <cell r="A1" t="str">
            <v>コード</v>
          </cell>
          <cell r="B1" t="str">
            <v>科目</v>
          </cell>
        </row>
        <row r="2">
          <cell r="A2">
            <v>501</v>
          </cell>
          <cell r="B2" t="str">
            <v>給料手当</v>
          </cell>
        </row>
        <row r="3">
          <cell r="A3">
            <v>502</v>
          </cell>
          <cell r="B3" t="str">
            <v>法定福利費</v>
          </cell>
        </row>
        <row r="4">
          <cell r="A4">
            <v>503</v>
          </cell>
          <cell r="B4" t="str">
            <v>福利厚生費</v>
          </cell>
        </row>
        <row r="5">
          <cell r="A5">
            <v>511</v>
          </cell>
          <cell r="B5" t="str">
            <v>運賃</v>
          </cell>
        </row>
        <row r="6">
          <cell r="A6">
            <v>512</v>
          </cell>
          <cell r="B6" t="str">
            <v>支払手数料</v>
          </cell>
        </row>
        <row r="7">
          <cell r="A7">
            <v>516</v>
          </cell>
          <cell r="B7" t="str">
            <v>図書研究費</v>
          </cell>
        </row>
        <row r="8">
          <cell r="A8">
            <v>520</v>
          </cell>
          <cell r="B8" t="str">
            <v>諸会費</v>
          </cell>
        </row>
        <row r="9">
          <cell r="A9">
            <v>521</v>
          </cell>
          <cell r="B9" t="str">
            <v>接待交際費</v>
          </cell>
        </row>
        <row r="10">
          <cell r="A10">
            <v>522</v>
          </cell>
          <cell r="B10" t="str">
            <v>旅費交通費</v>
          </cell>
        </row>
        <row r="11">
          <cell r="A11">
            <v>523</v>
          </cell>
          <cell r="B11" t="str">
            <v>通信費</v>
          </cell>
        </row>
        <row r="12">
          <cell r="A12">
            <v>524</v>
          </cell>
          <cell r="B12" t="str">
            <v>事務消耗品費</v>
          </cell>
        </row>
        <row r="13">
          <cell r="A13">
            <v>525</v>
          </cell>
          <cell r="B13" t="str">
            <v>消耗品費</v>
          </cell>
        </row>
        <row r="14">
          <cell r="A14">
            <v>526</v>
          </cell>
          <cell r="B14" t="str">
            <v>租税公課</v>
          </cell>
        </row>
        <row r="15">
          <cell r="A15">
            <v>528</v>
          </cell>
          <cell r="B15" t="str">
            <v>地代・家賃</v>
          </cell>
        </row>
        <row r="16">
          <cell r="A16">
            <v>530</v>
          </cell>
          <cell r="B16" t="str">
            <v>水道光熱費</v>
          </cell>
        </row>
        <row r="17">
          <cell r="A17">
            <v>531</v>
          </cell>
          <cell r="B17" t="str">
            <v>保険料</v>
          </cell>
        </row>
        <row r="18">
          <cell r="A18">
            <v>535</v>
          </cell>
          <cell r="B18" t="str">
            <v>会議費</v>
          </cell>
        </row>
        <row r="19">
          <cell r="A19">
            <v>537</v>
          </cell>
          <cell r="B19" t="str">
            <v>顧問報酬</v>
          </cell>
        </row>
        <row r="20">
          <cell r="A20">
            <v>538</v>
          </cell>
          <cell r="B20" t="str">
            <v>雑費</v>
          </cell>
        </row>
        <row r="21">
          <cell r="A21">
            <v>550</v>
          </cell>
          <cell r="B21" t="str">
            <v>器具・備品</v>
          </cell>
        </row>
        <row r="22">
          <cell r="A22">
            <v>614</v>
          </cell>
          <cell r="B22" t="str">
            <v>雑損失</v>
          </cell>
        </row>
        <row r="23">
          <cell r="A23">
            <v>100</v>
          </cell>
          <cell r="B23" t="str">
            <v>現金</v>
          </cell>
        </row>
        <row r="24">
          <cell r="A24">
            <v>114</v>
          </cell>
          <cell r="B24" t="str">
            <v>普通預金</v>
          </cell>
        </row>
        <row r="25">
          <cell r="A25">
            <v>600</v>
          </cell>
          <cell r="B25" t="str">
            <v>受取利息</v>
          </cell>
        </row>
        <row r="26">
          <cell r="A26">
            <v>604</v>
          </cell>
          <cell r="B26" t="str">
            <v>雑収入</v>
          </cell>
        </row>
        <row r="27">
          <cell r="A27">
            <v>208</v>
          </cell>
          <cell r="B27" t="str">
            <v>預り金</v>
          </cell>
        </row>
        <row r="28">
          <cell r="A28">
            <v>131</v>
          </cell>
          <cell r="B28" t="str">
            <v>売掛金</v>
          </cell>
        </row>
        <row r="29">
          <cell r="A29">
            <v>201</v>
          </cell>
          <cell r="B29" t="str">
            <v>買掛金</v>
          </cell>
        </row>
        <row r="30">
          <cell r="A30">
            <v>810</v>
          </cell>
          <cell r="B30" t="str">
            <v>売上高</v>
          </cell>
        </row>
        <row r="31">
          <cell r="A31">
            <v>464</v>
          </cell>
          <cell r="B31" t="str">
            <v>外注費</v>
          </cell>
        </row>
        <row r="32">
          <cell r="A32">
            <v>999</v>
          </cell>
          <cell r="B32" t="str">
            <v>その他</v>
          </cell>
        </row>
        <row r="33">
          <cell r="A33">
            <v>154</v>
          </cell>
        </row>
        <row r="34">
          <cell r="A34">
            <v>510</v>
          </cell>
        </row>
      </sheetData>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Book2"/>
      <sheetName val="コード"/>
    </sheetNames>
    <sheetDataSet>
      <sheetData sheetId="0">
        <row r="5">
          <cell r="A5" t="str">
            <v>番号</v>
          </cell>
          <cell r="B5" t="str">
            <v>月日</v>
          </cell>
          <cell r="C5" t="str">
            <v>摘要</v>
          </cell>
          <cell r="D5" t="str">
            <v>支払先</v>
          </cell>
          <cell r="E5" t="str">
            <v>借方科目</v>
          </cell>
          <cell r="G5" t="str">
            <v>貸方科目</v>
          </cell>
          <cell r="I5" t="str">
            <v>収入</v>
          </cell>
          <cell r="J5" t="str">
            <v>支出</v>
          </cell>
          <cell r="K5" t="str">
            <v>残高</v>
          </cell>
        </row>
        <row r="6">
          <cell r="A6">
            <v>1</v>
          </cell>
          <cell r="B6">
            <v>35683</v>
          </cell>
          <cell r="C6" t="str">
            <v>布団カバー</v>
          </cell>
          <cell r="E6">
            <v>525</v>
          </cell>
          <cell r="F6" t="str">
            <v>消耗品費</v>
          </cell>
          <cell r="G6">
            <v>100</v>
          </cell>
          <cell r="H6" t="str">
            <v>現金</v>
          </cell>
          <cell r="J6">
            <v>3045</v>
          </cell>
          <cell r="K6">
            <v>-3045</v>
          </cell>
        </row>
        <row r="7">
          <cell r="A7">
            <v>2</v>
          </cell>
          <cell r="B7">
            <v>35683</v>
          </cell>
          <cell r="C7" t="str">
            <v>合鍵</v>
          </cell>
          <cell r="E7">
            <v>538</v>
          </cell>
          <cell r="F7" t="str">
            <v>雑費</v>
          </cell>
          <cell r="G7">
            <v>100</v>
          </cell>
          <cell r="H7" t="str">
            <v>現金</v>
          </cell>
          <cell r="J7">
            <v>1260</v>
          </cell>
          <cell r="K7">
            <v>-4305</v>
          </cell>
        </row>
        <row r="8">
          <cell r="A8">
            <v>3</v>
          </cell>
          <cell r="B8">
            <v>35683</v>
          </cell>
          <cell r="C8" t="str">
            <v>石鹸</v>
          </cell>
          <cell r="E8">
            <v>525</v>
          </cell>
          <cell r="F8" t="str">
            <v>消耗品費</v>
          </cell>
          <cell r="G8">
            <v>100</v>
          </cell>
          <cell r="H8" t="str">
            <v>現金</v>
          </cell>
          <cell r="J8">
            <v>312</v>
          </cell>
          <cell r="K8">
            <v>-4617</v>
          </cell>
        </row>
        <row r="9">
          <cell r="A9">
            <v>4</v>
          </cell>
          <cell r="B9">
            <v>35683</v>
          </cell>
          <cell r="C9" t="str">
            <v>はさみ・セロテープ他</v>
          </cell>
          <cell r="E9">
            <v>524</v>
          </cell>
          <cell r="F9" t="str">
            <v>事務消耗品費</v>
          </cell>
          <cell r="G9">
            <v>100</v>
          </cell>
          <cell r="H9" t="str">
            <v>現金</v>
          </cell>
          <cell r="J9">
            <v>4033</v>
          </cell>
          <cell r="K9">
            <v>-8650</v>
          </cell>
        </row>
        <row r="10">
          <cell r="A10">
            <v>5</v>
          </cell>
          <cell r="B10">
            <v>35683</v>
          </cell>
          <cell r="C10" t="str">
            <v>自転車・クッション</v>
          </cell>
          <cell r="E10">
            <v>525</v>
          </cell>
          <cell r="F10" t="str">
            <v>消耗品費</v>
          </cell>
          <cell r="G10">
            <v>100</v>
          </cell>
          <cell r="H10" t="str">
            <v>現金</v>
          </cell>
          <cell r="J10">
            <v>20706</v>
          </cell>
          <cell r="K10">
            <v>-29356</v>
          </cell>
        </row>
        <row r="11">
          <cell r="A11">
            <v>6</v>
          </cell>
          <cell r="B11">
            <v>35683</v>
          </cell>
          <cell r="C11" t="str">
            <v>ティッシュ・ごみ袋他</v>
          </cell>
          <cell r="E11">
            <v>525</v>
          </cell>
          <cell r="F11" t="str">
            <v>消耗品費</v>
          </cell>
          <cell r="G11">
            <v>100</v>
          </cell>
          <cell r="H11" t="str">
            <v>現金</v>
          </cell>
          <cell r="J11">
            <v>1864</v>
          </cell>
          <cell r="K11">
            <v>-31220</v>
          </cell>
        </row>
        <row r="12">
          <cell r="A12">
            <v>7</v>
          </cell>
          <cell r="B12">
            <v>35685</v>
          </cell>
          <cell r="C12" t="str">
            <v>タクシー</v>
          </cell>
          <cell r="E12">
            <v>522</v>
          </cell>
          <cell r="F12" t="str">
            <v>旅費交通費</v>
          </cell>
          <cell r="G12">
            <v>100</v>
          </cell>
          <cell r="H12" t="str">
            <v>現金</v>
          </cell>
          <cell r="J12">
            <v>900</v>
          </cell>
          <cell r="K12">
            <v>-32120</v>
          </cell>
        </row>
        <row r="13">
          <cell r="A13">
            <v>8</v>
          </cell>
          <cell r="B13">
            <v>35685</v>
          </cell>
          <cell r="C13" t="str">
            <v>時計</v>
          </cell>
          <cell r="E13">
            <v>525</v>
          </cell>
          <cell r="F13" t="str">
            <v>消耗品費</v>
          </cell>
          <cell r="G13">
            <v>100</v>
          </cell>
          <cell r="H13" t="str">
            <v>現金</v>
          </cell>
          <cell r="J13">
            <v>6436</v>
          </cell>
          <cell r="K13">
            <v>-38556</v>
          </cell>
        </row>
        <row r="14">
          <cell r="A14">
            <v>9</v>
          </cell>
          <cell r="B14">
            <v>35686</v>
          </cell>
          <cell r="C14" t="str">
            <v>布団</v>
          </cell>
          <cell r="E14">
            <v>525</v>
          </cell>
          <cell r="F14" t="str">
            <v>消耗品費</v>
          </cell>
          <cell r="G14">
            <v>100</v>
          </cell>
          <cell r="H14" t="str">
            <v>現金</v>
          </cell>
          <cell r="J14">
            <v>38900</v>
          </cell>
          <cell r="K14">
            <v>-77456</v>
          </cell>
        </row>
        <row r="15">
          <cell r="A15">
            <v>10</v>
          </cell>
          <cell r="B15">
            <v>35686</v>
          </cell>
          <cell r="C15" t="str">
            <v>テレビ</v>
          </cell>
          <cell r="E15">
            <v>525</v>
          </cell>
          <cell r="F15" t="str">
            <v>消耗品費</v>
          </cell>
          <cell r="G15">
            <v>100</v>
          </cell>
          <cell r="H15" t="str">
            <v>現金</v>
          </cell>
          <cell r="J15">
            <v>58540</v>
          </cell>
          <cell r="K15">
            <v>-135996</v>
          </cell>
        </row>
        <row r="16">
          <cell r="A16">
            <v>11</v>
          </cell>
          <cell r="B16">
            <v>35686</v>
          </cell>
          <cell r="C16" t="str">
            <v>ドライバー・メジャー</v>
          </cell>
          <cell r="E16">
            <v>524</v>
          </cell>
          <cell r="F16" t="str">
            <v>事務消耗品費</v>
          </cell>
          <cell r="G16">
            <v>100</v>
          </cell>
          <cell r="H16" t="str">
            <v>現金</v>
          </cell>
          <cell r="J16">
            <v>1396</v>
          </cell>
          <cell r="K16">
            <v>-137392</v>
          </cell>
        </row>
        <row r="17">
          <cell r="A17">
            <v>12</v>
          </cell>
          <cell r="B17">
            <v>35686</v>
          </cell>
          <cell r="C17" t="str">
            <v>薬缶・食器他</v>
          </cell>
          <cell r="E17">
            <v>525</v>
          </cell>
          <cell r="F17" t="str">
            <v>消耗品費</v>
          </cell>
          <cell r="G17">
            <v>100</v>
          </cell>
          <cell r="H17" t="str">
            <v>現金</v>
          </cell>
          <cell r="J17">
            <v>7345</v>
          </cell>
          <cell r="K17">
            <v>-144737</v>
          </cell>
        </row>
        <row r="18">
          <cell r="A18">
            <v>13</v>
          </cell>
          <cell r="B18">
            <v>35689</v>
          </cell>
          <cell r="C18" t="str">
            <v>印鑑</v>
          </cell>
          <cell r="E18">
            <v>524</v>
          </cell>
          <cell r="F18" t="str">
            <v>事務消耗品費</v>
          </cell>
          <cell r="G18">
            <v>100</v>
          </cell>
          <cell r="H18" t="str">
            <v>現金</v>
          </cell>
          <cell r="J18">
            <v>420</v>
          </cell>
          <cell r="K18">
            <v>-145157</v>
          </cell>
        </row>
        <row r="19">
          <cell r="A19">
            <v>14</v>
          </cell>
          <cell r="B19">
            <v>35689</v>
          </cell>
          <cell r="C19" t="str">
            <v>印鑑証明</v>
          </cell>
          <cell r="E19">
            <v>538</v>
          </cell>
          <cell r="F19" t="str">
            <v>雑費</v>
          </cell>
          <cell r="G19">
            <v>100</v>
          </cell>
          <cell r="H19" t="str">
            <v>現金</v>
          </cell>
          <cell r="J19">
            <v>700</v>
          </cell>
          <cell r="K19">
            <v>-145857</v>
          </cell>
        </row>
        <row r="20">
          <cell r="A20">
            <v>15</v>
          </cell>
          <cell r="B20">
            <v>35689</v>
          </cell>
          <cell r="C20" t="str">
            <v>机・本棚</v>
          </cell>
          <cell r="E20">
            <v>525</v>
          </cell>
          <cell r="F20" t="str">
            <v>消耗品費</v>
          </cell>
          <cell r="G20">
            <v>100</v>
          </cell>
          <cell r="H20" t="str">
            <v>現金</v>
          </cell>
          <cell r="J20">
            <v>105000</v>
          </cell>
          <cell r="K20">
            <v>-250857</v>
          </cell>
        </row>
        <row r="21">
          <cell r="A21">
            <v>16</v>
          </cell>
          <cell r="B21">
            <v>35690</v>
          </cell>
          <cell r="C21" t="str">
            <v>トイレ備品・他</v>
          </cell>
          <cell r="E21">
            <v>525</v>
          </cell>
          <cell r="F21" t="str">
            <v>消耗品費</v>
          </cell>
          <cell r="G21">
            <v>100</v>
          </cell>
          <cell r="H21" t="str">
            <v>現金</v>
          </cell>
          <cell r="J21">
            <v>2823</v>
          </cell>
          <cell r="K21">
            <v>-253680</v>
          </cell>
        </row>
        <row r="22">
          <cell r="A22">
            <v>17</v>
          </cell>
          <cell r="B22">
            <v>35697</v>
          </cell>
          <cell r="C22" t="str">
            <v>タクシー</v>
          </cell>
          <cell r="E22">
            <v>522</v>
          </cell>
          <cell r="F22" t="str">
            <v>旅費交通費</v>
          </cell>
          <cell r="G22">
            <v>100</v>
          </cell>
          <cell r="H22" t="str">
            <v>現金</v>
          </cell>
          <cell r="J22">
            <v>730</v>
          </cell>
          <cell r="K22">
            <v>-254410</v>
          </cell>
        </row>
        <row r="23">
          <cell r="A23">
            <v>18</v>
          </cell>
          <cell r="B23">
            <v>35697</v>
          </cell>
          <cell r="C23" t="str">
            <v>会社設立関連</v>
          </cell>
          <cell r="E23">
            <v>516</v>
          </cell>
          <cell r="F23" t="str">
            <v>図書研究費</v>
          </cell>
          <cell r="G23">
            <v>100</v>
          </cell>
          <cell r="H23" t="str">
            <v>現金</v>
          </cell>
          <cell r="J23">
            <v>1427</v>
          </cell>
          <cell r="K23">
            <v>-255837</v>
          </cell>
        </row>
        <row r="24">
          <cell r="A24">
            <v>19</v>
          </cell>
          <cell r="B24">
            <v>35697</v>
          </cell>
          <cell r="C24" t="str">
            <v>フライパン</v>
          </cell>
          <cell r="E24">
            <v>525</v>
          </cell>
          <cell r="F24" t="str">
            <v>消耗品費</v>
          </cell>
          <cell r="G24">
            <v>100</v>
          </cell>
          <cell r="H24" t="str">
            <v>現金</v>
          </cell>
          <cell r="J24">
            <v>5250</v>
          </cell>
          <cell r="K24">
            <v>-261087</v>
          </cell>
        </row>
        <row r="25">
          <cell r="A25">
            <v>20</v>
          </cell>
          <cell r="B25">
            <v>35698</v>
          </cell>
          <cell r="C25" t="str">
            <v>包丁</v>
          </cell>
          <cell r="E25">
            <v>525</v>
          </cell>
          <cell r="F25" t="str">
            <v>消耗品費</v>
          </cell>
          <cell r="G25">
            <v>100</v>
          </cell>
          <cell r="H25" t="str">
            <v>現金</v>
          </cell>
          <cell r="J25">
            <v>1029</v>
          </cell>
          <cell r="K25">
            <v>-262116</v>
          </cell>
        </row>
        <row r="26">
          <cell r="A26">
            <v>21</v>
          </cell>
          <cell r="B26">
            <v>35698</v>
          </cell>
          <cell r="C26" t="str">
            <v>洗剤</v>
          </cell>
          <cell r="E26">
            <v>525</v>
          </cell>
          <cell r="F26" t="str">
            <v>消耗品費</v>
          </cell>
          <cell r="G26">
            <v>100</v>
          </cell>
          <cell r="H26" t="str">
            <v>現金</v>
          </cell>
          <cell r="J26">
            <v>627</v>
          </cell>
          <cell r="K26">
            <v>-262743</v>
          </cell>
        </row>
        <row r="27">
          <cell r="A27">
            <v>22</v>
          </cell>
          <cell r="B27">
            <v>35698</v>
          </cell>
          <cell r="C27" t="str">
            <v>家賃</v>
          </cell>
          <cell r="E27">
            <v>528</v>
          </cell>
          <cell r="F27" t="str">
            <v>地代・家賃</v>
          </cell>
          <cell r="G27">
            <v>100</v>
          </cell>
          <cell r="H27" t="str">
            <v>現金</v>
          </cell>
          <cell r="J27">
            <v>89000</v>
          </cell>
          <cell r="K27">
            <v>-351743</v>
          </cell>
        </row>
        <row r="28">
          <cell r="A28">
            <v>23</v>
          </cell>
          <cell r="B28">
            <v>35701</v>
          </cell>
          <cell r="C28" t="str">
            <v>コンピュータ関連</v>
          </cell>
          <cell r="E28">
            <v>516</v>
          </cell>
          <cell r="F28" t="str">
            <v>図書研究費</v>
          </cell>
          <cell r="G28">
            <v>100</v>
          </cell>
          <cell r="H28" t="str">
            <v>現金</v>
          </cell>
          <cell r="J28">
            <v>1260</v>
          </cell>
          <cell r="K28">
            <v>-353003</v>
          </cell>
        </row>
        <row r="29">
          <cell r="A29">
            <v>24</v>
          </cell>
          <cell r="B29">
            <v>35703</v>
          </cell>
          <cell r="C29" t="str">
            <v>パンチ</v>
          </cell>
          <cell r="E29">
            <v>524</v>
          </cell>
          <cell r="F29" t="str">
            <v>事務消耗品費</v>
          </cell>
          <cell r="G29">
            <v>100</v>
          </cell>
          <cell r="H29" t="str">
            <v>現金</v>
          </cell>
          <cell r="J29">
            <v>945</v>
          </cell>
          <cell r="K29">
            <v>-353948</v>
          </cell>
        </row>
        <row r="30">
          <cell r="A30">
            <v>25</v>
          </cell>
          <cell r="B30">
            <v>35704</v>
          </cell>
          <cell r="C30" t="str">
            <v>会社印鑑</v>
          </cell>
          <cell r="E30">
            <v>524</v>
          </cell>
          <cell r="F30" t="str">
            <v>事務消耗品費</v>
          </cell>
          <cell r="G30">
            <v>100</v>
          </cell>
          <cell r="H30" t="str">
            <v>現金</v>
          </cell>
          <cell r="J30">
            <v>43050</v>
          </cell>
          <cell r="K30">
            <v>-396998</v>
          </cell>
        </row>
        <row r="31">
          <cell r="A31">
            <v>26</v>
          </cell>
          <cell r="B31">
            <v>35706</v>
          </cell>
          <cell r="C31" t="str">
            <v>電気</v>
          </cell>
          <cell r="E31">
            <v>530</v>
          </cell>
          <cell r="F31" t="str">
            <v>水道光熱費</v>
          </cell>
          <cell r="G31">
            <v>100</v>
          </cell>
          <cell r="H31" t="str">
            <v>現金</v>
          </cell>
          <cell r="J31">
            <v>1474</v>
          </cell>
          <cell r="K31">
            <v>-398472</v>
          </cell>
        </row>
        <row r="32">
          <cell r="A32">
            <v>27</v>
          </cell>
          <cell r="B32">
            <v>35708</v>
          </cell>
          <cell r="C32" t="str">
            <v>収納ケース</v>
          </cell>
          <cell r="E32">
            <v>525</v>
          </cell>
          <cell r="F32" t="str">
            <v>消耗品費</v>
          </cell>
          <cell r="G32">
            <v>100</v>
          </cell>
          <cell r="H32" t="str">
            <v>現金</v>
          </cell>
          <cell r="J32">
            <v>4158</v>
          </cell>
          <cell r="K32">
            <v>-402630</v>
          </cell>
        </row>
        <row r="33">
          <cell r="A33">
            <v>28</v>
          </cell>
          <cell r="B33">
            <v>35709</v>
          </cell>
          <cell r="C33" t="str">
            <v>タクシー</v>
          </cell>
          <cell r="E33">
            <v>522</v>
          </cell>
          <cell r="F33" t="str">
            <v>旅費交通費</v>
          </cell>
          <cell r="G33">
            <v>100</v>
          </cell>
          <cell r="H33" t="str">
            <v>現金</v>
          </cell>
          <cell r="J33">
            <v>2400</v>
          </cell>
          <cell r="K33">
            <v>-405030</v>
          </cell>
        </row>
        <row r="34">
          <cell r="A34">
            <v>29</v>
          </cell>
          <cell r="B34">
            <v>35709</v>
          </cell>
          <cell r="C34" t="str">
            <v>コンピュータ関連</v>
          </cell>
          <cell r="E34">
            <v>516</v>
          </cell>
          <cell r="F34" t="str">
            <v>図書研究費</v>
          </cell>
          <cell r="G34">
            <v>100</v>
          </cell>
          <cell r="H34" t="str">
            <v>現金</v>
          </cell>
          <cell r="J34">
            <v>3675</v>
          </cell>
          <cell r="K34">
            <v>-408705</v>
          </cell>
        </row>
        <row r="35">
          <cell r="A35">
            <v>30</v>
          </cell>
          <cell r="B35">
            <v>35716</v>
          </cell>
          <cell r="C35" t="str">
            <v>電話</v>
          </cell>
          <cell r="E35">
            <v>523</v>
          </cell>
          <cell r="F35" t="str">
            <v>通信費</v>
          </cell>
          <cell r="G35">
            <v>100</v>
          </cell>
          <cell r="H35" t="str">
            <v>現金</v>
          </cell>
          <cell r="J35">
            <v>20300</v>
          </cell>
          <cell r="K35">
            <v>-429005</v>
          </cell>
        </row>
        <row r="36">
          <cell r="A36">
            <v>31</v>
          </cell>
          <cell r="B36">
            <v>35718</v>
          </cell>
          <cell r="C36" t="str">
            <v>ASAHIパソコン</v>
          </cell>
          <cell r="E36">
            <v>516</v>
          </cell>
          <cell r="F36" t="str">
            <v>図書研究費</v>
          </cell>
          <cell r="G36">
            <v>100</v>
          </cell>
          <cell r="H36" t="str">
            <v>現金</v>
          </cell>
          <cell r="J36">
            <v>390</v>
          </cell>
          <cell r="K36">
            <v>-429395</v>
          </cell>
        </row>
        <row r="37">
          <cell r="A37">
            <v>32</v>
          </cell>
          <cell r="B37">
            <v>35718</v>
          </cell>
          <cell r="C37" t="str">
            <v>テレビ受信料</v>
          </cell>
          <cell r="E37">
            <v>538</v>
          </cell>
          <cell r="F37" t="str">
            <v>雑費</v>
          </cell>
          <cell r="G37">
            <v>100</v>
          </cell>
          <cell r="H37" t="str">
            <v>現金</v>
          </cell>
          <cell r="J37">
            <v>2790</v>
          </cell>
          <cell r="K37">
            <v>-432185</v>
          </cell>
        </row>
        <row r="38">
          <cell r="A38">
            <v>33</v>
          </cell>
          <cell r="B38">
            <v>35721</v>
          </cell>
          <cell r="C38" t="str">
            <v>日経トレンディ</v>
          </cell>
          <cell r="E38">
            <v>516</v>
          </cell>
          <cell r="F38" t="str">
            <v>図書研究費</v>
          </cell>
          <cell r="G38">
            <v>100</v>
          </cell>
          <cell r="H38" t="str">
            <v>現金</v>
          </cell>
          <cell r="J38">
            <v>780</v>
          </cell>
          <cell r="K38">
            <v>-432965</v>
          </cell>
        </row>
        <row r="39">
          <cell r="A39">
            <v>34</v>
          </cell>
          <cell r="B39">
            <v>35725</v>
          </cell>
          <cell r="C39" t="str">
            <v>ガス</v>
          </cell>
          <cell r="E39">
            <v>530</v>
          </cell>
          <cell r="F39" t="str">
            <v>水道光熱費</v>
          </cell>
          <cell r="G39">
            <v>100</v>
          </cell>
          <cell r="H39" t="str">
            <v>現金</v>
          </cell>
          <cell r="J39">
            <v>2509</v>
          </cell>
          <cell r="K39">
            <v>-435474</v>
          </cell>
        </row>
        <row r="40">
          <cell r="A40">
            <v>35</v>
          </cell>
          <cell r="B40">
            <v>35726</v>
          </cell>
          <cell r="C40" t="str">
            <v>Tカード</v>
          </cell>
          <cell r="E40">
            <v>522</v>
          </cell>
          <cell r="F40" t="str">
            <v>旅費交通費</v>
          </cell>
          <cell r="G40">
            <v>100</v>
          </cell>
          <cell r="H40" t="str">
            <v>現金</v>
          </cell>
          <cell r="J40">
            <v>3000</v>
          </cell>
          <cell r="K40">
            <v>-438474</v>
          </cell>
        </row>
        <row r="41">
          <cell r="A41">
            <v>36</v>
          </cell>
          <cell r="B41">
            <v>35727</v>
          </cell>
          <cell r="C41" t="str">
            <v>歯磨き粉</v>
          </cell>
          <cell r="E41">
            <v>525</v>
          </cell>
          <cell r="F41" t="str">
            <v>消耗品費</v>
          </cell>
          <cell r="G41">
            <v>100</v>
          </cell>
          <cell r="H41" t="str">
            <v>現金</v>
          </cell>
          <cell r="J41">
            <v>924</v>
          </cell>
          <cell r="K41">
            <v>-439398</v>
          </cell>
        </row>
        <row r="42">
          <cell r="A42">
            <v>37</v>
          </cell>
          <cell r="B42">
            <v>35727</v>
          </cell>
          <cell r="C42" t="str">
            <v>コピー</v>
          </cell>
          <cell r="E42">
            <v>524</v>
          </cell>
          <cell r="F42" t="str">
            <v>事務消耗品費</v>
          </cell>
          <cell r="G42">
            <v>100</v>
          </cell>
          <cell r="H42" t="str">
            <v>現金</v>
          </cell>
          <cell r="J42">
            <v>283</v>
          </cell>
          <cell r="K42">
            <v>-439681</v>
          </cell>
        </row>
        <row r="43">
          <cell r="A43">
            <v>38</v>
          </cell>
          <cell r="B43">
            <v>35730</v>
          </cell>
          <cell r="C43" t="str">
            <v>レターケース</v>
          </cell>
          <cell r="E43">
            <v>524</v>
          </cell>
          <cell r="F43" t="str">
            <v>事務消耗品費</v>
          </cell>
          <cell r="G43">
            <v>100</v>
          </cell>
          <cell r="H43" t="str">
            <v>現金</v>
          </cell>
          <cell r="J43">
            <v>1470</v>
          </cell>
          <cell r="K43">
            <v>-441151</v>
          </cell>
        </row>
        <row r="44">
          <cell r="A44">
            <v>39</v>
          </cell>
          <cell r="B44">
            <v>35730</v>
          </cell>
          <cell r="C44" t="str">
            <v>家賃</v>
          </cell>
          <cell r="E44">
            <v>528</v>
          </cell>
          <cell r="F44" t="str">
            <v>地代・家賃</v>
          </cell>
          <cell r="G44">
            <v>100</v>
          </cell>
          <cell r="H44" t="str">
            <v>現金</v>
          </cell>
          <cell r="J44">
            <v>89000</v>
          </cell>
          <cell r="K44">
            <v>-530151</v>
          </cell>
        </row>
        <row r="45">
          <cell r="A45">
            <v>40</v>
          </cell>
          <cell r="B45">
            <v>35731</v>
          </cell>
          <cell r="C45" t="str">
            <v>ｽﾌﾟｰﾝ・ﾌｫｰｸ</v>
          </cell>
          <cell r="E45">
            <v>525</v>
          </cell>
          <cell r="F45" t="str">
            <v>消耗品費</v>
          </cell>
          <cell r="G45">
            <v>100</v>
          </cell>
          <cell r="H45" t="str">
            <v>現金</v>
          </cell>
          <cell r="J45">
            <v>1041</v>
          </cell>
          <cell r="K45">
            <v>-531192</v>
          </cell>
        </row>
        <row r="46">
          <cell r="A46">
            <v>41</v>
          </cell>
          <cell r="B46">
            <v>35731</v>
          </cell>
          <cell r="C46" t="str">
            <v>有限会社設立登記</v>
          </cell>
          <cell r="E46">
            <v>516</v>
          </cell>
          <cell r="F46" t="str">
            <v>図書研究費</v>
          </cell>
          <cell r="G46">
            <v>100</v>
          </cell>
          <cell r="H46" t="str">
            <v>現金</v>
          </cell>
          <cell r="J46">
            <v>4200</v>
          </cell>
          <cell r="K46">
            <v>-535392</v>
          </cell>
        </row>
        <row r="47">
          <cell r="A47">
            <v>42</v>
          </cell>
          <cell r="B47">
            <v>35731</v>
          </cell>
          <cell r="C47" t="str">
            <v>石鹸・ティッシュ他</v>
          </cell>
          <cell r="E47">
            <v>525</v>
          </cell>
          <cell r="F47" t="str">
            <v>消耗品費</v>
          </cell>
          <cell r="G47">
            <v>100</v>
          </cell>
          <cell r="H47" t="str">
            <v>現金</v>
          </cell>
          <cell r="J47">
            <v>4260</v>
          </cell>
          <cell r="K47">
            <v>-539652</v>
          </cell>
        </row>
        <row r="48">
          <cell r="A48">
            <v>43</v>
          </cell>
          <cell r="B48">
            <v>35735</v>
          </cell>
          <cell r="C48" t="str">
            <v>シャーペン</v>
          </cell>
          <cell r="E48">
            <v>524</v>
          </cell>
          <cell r="F48" t="str">
            <v>事務消耗品費</v>
          </cell>
          <cell r="G48">
            <v>100</v>
          </cell>
          <cell r="H48" t="str">
            <v>現金</v>
          </cell>
          <cell r="J48">
            <v>207</v>
          </cell>
          <cell r="K48">
            <v>-539859</v>
          </cell>
        </row>
        <row r="49">
          <cell r="A49">
            <v>44</v>
          </cell>
          <cell r="B49">
            <v>35736</v>
          </cell>
          <cell r="C49" t="str">
            <v>バス用品</v>
          </cell>
          <cell r="E49">
            <v>525</v>
          </cell>
          <cell r="F49" t="str">
            <v>消耗品費</v>
          </cell>
          <cell r="G49">
            <v>100</v>
          </cell>
          <cell r="H49" t="str">
            <v>現金</v>
          </cell>
          <cell r="J49">
            <v>1260</v>
          </cell>
          <cell r="K49">
            <v>-541119</v>
          </cell>
        </row>
        <row r="50">
          <cell r="A50">
            <v>45</v>
          </cell>
          <cell r="B50">
            <v>35737</v>
          </cell>
          <cell r="C50" t="str">
            <v>キッチン用品</v>
          </cell>
          <cell r="E50">
            <v>525</v>
          </cell>
          <cell r="F50" t="str">
            <v>消耗品費</v>
          </cell>
          <cell r="G50">
            <v>100</v>
          </cell>
          <cell r="H50" t="str">
            <v>現金</v>
          </cell>
          <cell r="J50">
            <v>5040</v>
          </cell>
          <cell r="K50">
            <v>-546159</v>
          </cell>
        </row>
        <row r="51">
          <cell r="A51">
            <v>46</v>
          </cell>
          <cell r="B51">
            <v>35738</v>
          </cell>
          <cell r="C51" t="str">
            <v>電話料金</v>
          </cell>
          <cell r="E51">
            <v>523</v>
          </cell>
          <cell r="F51" t="str">
            <v>通信費</v>
          </cell>
          <cell r="G51">
            <v>100</v>
          </cell>
          <cell r="H51" t="str">
            <v>現金</v>
          </cell>
          <cell r="J51">
            <v>10031</v>
          </cell>
          <cell r="K51">
            <v>-556190</v>
          </cell>
        </row>
        <row r="52">
          <cell r="A52">
            <v>47</v>
          </cell>
          <cell r="B52">
            <v>35739</v>
          </cell>
          <cell r="C52" t="str">
            <v>亀コン永田取締役</v>
          </cell>
          <cell r="E52">
            <v>535</v>
          </cell>
          <cell r="F52" t="str">
            <v>会議費</v>
          </cell>
          <cell r="G52">
            <v>100</v>
          </cell>
          <cell r="H52" t="str">
            <v>現金</v>
          </cell>
          <cell r="J52">
            <v>3706</v>
          </cell>
          <cell r="K52">
            <v>-559896</v>
          </cell>
        </row>
        <row r="53">
          <cell r="A53">
            <v>48</v>
          </cell>
          <cell r="B53">
            <v>35739</v>
          </cell>
          <cell r="C53" t="str">
            <v>コーヒー（粉）</v>
          </cell>
          <cell r="E53">
            <v>503</v>
          </cell>
          <cell r="F53" t="str">
            <v>福利厚生費</v>
          </cell>
          <cell r="G53">
            <v>100</v>
          </cell>
          <cell r="H53" t="str">
            <v>現金</v>
          </cell>
          <cell r="J53">
            <v>1075</v>
          </cell>
          <cell r="K53">
            <v>-560971</v>
          </cell>
        </row>
        <row r="54">
          <cell r="A54">
            <v>49</v>
          </cell>
          <cell r="B54">
            <v>35742</v>
          </cell>
          <cell r="C54" t="str">
            <v>日経トレンディ</v>
          </cell>
          <cell r="E54">
            <v>516</v>
          </cell>
          <cell r="F54" t="str">
            <v>図書研究費</v>
          </cell>
          <cell r="G54">
            <v>100</v>
          </cell>
          <cell r="H54" t="str">
            <v>現金</v>
          </cell>
          <cell r="J54">
            <v>600</v>
          </cell>
          <cell r="K54">
            <v>-561571</v>
          </cell>
        </row>
        <row r="55">
          <cell r="A55">
            <v>50</v>
          </cell>
          <cell r="B55">
            <v>35743</v>
          </cell>
          <cell r="C55" t="str">
            <v>コンピュータ関連</v>
          </cell>
          <cell r="E55">
            <v>516</v>
          </cell>
          <cell r="F55" t="str">
            <v>図書研究費</v>
          </cell>
          <cell r="G55">
            <v>100</v>
          </cell>
          <cell r="H55" t="str">
            <v>現金</v>
          </cell>
          <cell r="J55">
            <v>407</v>
          </cell>
          <cell r="K55">
            <v>-561978</v>
          </cell>
        </row>
        <row r="56">
          <cell r="A56">
            <v>51</v>
          </cell>
          <cell r="B56">
            <v>35745</v>
          </cell>
          <cell r="C56" t="str">
            <v>お茶</v>
          </cell>
          <cell r="E56">
            <v>503</v>
          </cell>
          <cell r="F56" t="str">
            <v>福利厚生費</v>
          </cell>
          <cell r="G56">
            <v>100</v>
          </cell>
          <cell r="H56" t="str">
            <v>現金</v>
          </cell>
          <cell r="J56">
            <v>325</v>
          </cell>
          <cell r="K56">
            <v>-562303</v>
          </cell>
        </row>
        <row r="57">
          <cell r="A57">
            <v>52</v>
          </cell>
          <cell r="B57">
            <v>35746</v>
          </cell>
          <cell r="C57" t="str">
            <v>水道</v>
          </cell>
          <cell r="D57" t="str">
            <v>東京水道局</v>
          </cell>
          <cell r="E57">
            <v>530</v>
          </cell>
          <cell r="F57" t="str">
            <v>水道光熱費</v>
          </cell>
          <cell r="G57">
            <v>114</v>
          </cell>
          <cell r="H57" t="str">
            <v>普通預金</v>
          </cell>
          <cell r="J57">
            <v>2731</v>
          </cell>
          <cell r="K57">
            <v>-565034</v>
          </cell>
        </row>
        <row r="58">
          <cell r="A58">
            <v>53</v>
          </cell>
          <cell r="B58">
            <v>35746</v>
          </cell>
          <cell r="C58" t="str">
            <v>コンピュータ関連</v>
          </cell>
          <cell r="E58">
            <v>516</v>
          </cell>
          <cell r="F58" t="str">
            <v>図書研究費</v>
          </cell>
          <cell r="G58">
            <v>100</v>
          </cell>
          <cell r="H58" t="str">
            <v>現金</v>
          </cell>
          <cell r="J58">
            <v>900</v>
          </cell>
          <cell r="K58">
            <v>-565934</v>
          </cell>
        </row>
        <row r="59">
          <cell r="A59">
            <v>54</v>
          </cell>
          <cell r="B59">
            <v>35747</v>
          </cell>
          <cell r="C59" t="str">
            <v>コンピュータ関連</v>
          </cell>
          <cell r="E59">
            <v>516</v>
          </cell>
          <cell r="F59" t="str">
            <v>図書研究費</v>
          </cell>
          <cell r="G59">
            <v>100</v>
          </cell>
          <cell r="H59" t="str">
            <v>現金</v>
          </cell>
          <cell r="J59">
            <v>1251</v>
          </cell>
          <cell r="K59">
            <v>-567185</v>
          </cell>
        </row>
        <row r="60">
          <cell r="A60">
            <v>55</v>
          </cell>
          <cell r="B60">
            <v>35747</v>
          </cell>
          <cell r="C60" t="str">
            <v>お茶代</v>
          </cell>
          <cell r="E60">
            <v>503</v>
          </cell>
          <cell r="F60" t="str">
            <v>福利厚生費</v>
          </cell>
          <cell r="G60">
            <v>100</v>
          </cell>
          <cell r="H60" t="str">
            <v>現金</v>
          </cell>
          <cell r="J60">
            <v>312</v>
          </cell>
          <cell r="K60">
            <v>-567497</v>
          </cell>
        </row>
        <row r="61">
          <cell r="A61">
            <v>56</v>
          </cell>
          <cell r="B61">
            <v>35748</v>
          </cell>
          <cell r="C61" t="str">
            <v>亀コン　手土産</v>
          </cell>
          <cell r="E61">
            <v>521</v>
          </cell>
          <cell r="F61" t="str">
            <v>接待交際費</v>
          </cell>
          <cell r="G61">
            <v>100</v>
          </cell>
          <cell r="H61" t="str">
            <v>現金</v>
          </cell>
          <cell r="J61">
            <v>2500</v>
          </cell>
          <cell r="K61">
            <v>-569997</v>
          </cell>
        </row>
        <row r="62">
          <cell r="A62">
            <v>57</v>
          </cell>
          <cell r="B62">
            <v>35749</v>
          </cell>
          <cell r="C62" t="str">
            <v>茶菓子代</v>
          </cell>
          <cell r="E62">
            <v>503</v>
          </cell>
          <cell r="F62" t="str">
            <v>福利厚生費</v>
          </cell>
          <cell r="G62">
            <v>100</v>
          </cell>
          <cell r="H62" t="str">
            <v>現金</v>
          </cell>
          <cell r="J62">
            <v>1080</v>
          </cell>
          <cell r="K62">
            <v>-571077</v>
          </cell>
        </row>
        <row r="63">
          <cell r="A63">
            <v>58</v>
          </cell>
          <cell r="B63">
            <v>35750</v>
          </cell>
          <cell r="C63" t="str">
            <v>筆記用品</v>
          </cell>
          <cell r="E63">
            <v>524</v>
          </cell>
          <cell r="F63" t="str">
            <v>事務消耗品費</v>
          </cell>
          <cell r="G63">
            <v>100</v>
          </cell>
          <cell r="H63" t="str">
            <v>現金</v>
          </cell>
          <cell r="J63">
            <v>241</v>
          </cell>
          <cell r="K63">
            <v>-571318</v>
          </cell>
        </row>
        <row r="64">
          <cell r="A64">
            <v>59</v>
          </cell>
          <cell r="B64">
            <v>35751</v>
          </cell>
          <cell r="C64" t="str">
            <v>電気</v>
          </cell>
          <cell r="D64" t="str">
            <v>東京電力</v>
          </cell>
          <cell r="E64">
            <v>530</v>
          </cell>
          <cell r="F64" t="str">
            <v>水道光熱費</v>
          </cell>
          <cell r="G64">
            <v>114</v>
          </cell>
          <cell r="H64" t="str">
            <v>普通預金</v>
          </cell>
          <cell r="J64">
            <v>2832</v>
          </cell>
          <cell r="K64">
            <v>-574150</v>
          </cell>
        </row>
        <row r="65">
          <cell r="A65">
            <v>60</v>
          </cell>
          <cell r="B65">
            <v>35751</v>
          </cell>
          <cell r="C65" t="str">
            <v>ガムテープ</v>
          </cell>
          <cell r="E65">
            <v>524</v>
          </cell>
          <cell r="F65" t="str">
            <v>事務消耗品費</v>
          </cell>
          <cell r="G65">
            <v>100</v>
          </cell>
          <cell r="H65" t="str">
            <v>現金</v>
          </cell>
          <cell r="J65">
            <v>459</v>
          </cell>
          <cell r="K65">
            <v>-574609</v>
          </cell>
        </row>
        <row r="66">
          <cell r="A66">
            <v>61</v>
          </cell>
          <cell r="B66">
            <v>35752</v>
          </cell>
          <cell r="C66" t="str">
            <v>電話料金</v>
          </cell>
          <cell r="E66">
            <v>523</v>
          </cell>
          <cell r="F66" t="str">
            <v>通信費</v>
          </cell>
          <cell r="G66">
            <v>100</v>
          </cell>
          <cell r="H66" t="str">
            <v>現金</v>
          </cell>
          <cell r="J66">
            <v>3133</v>
          </cell>
          <cell r="K66">
            <v>-577742</v>
          </cell>
        </row>
        <row r="67">
          <cell r="A67">
            <v>62</v>
          </cell>
          <cell r="B67">
            <v>35755</v>
          </cell>
          <cell r="C67" t="str">
            <v>ガス</v>
          </cell>
          <cell r="D67" t="str">
            <v>東京ガス</v>
          </cell>
          <cell r="E67">
            <v>530</v>
          </cell>
          <cell r="F67" t="str">
            <v>水道光熱費</v>
          </cell>
          <cell r="G67">
            <v>114</v>
          </cell>
          <cell r="H67" t="str">
            <v>普通預金</v>
          </cell>
          <cell r="J67">
            <v>4018</v>
          </cell>
          <cell r="K67">
            <v>-581760</v>
          </cell>
        </row>
        <row r="68">
          <cell r="A68">
            <v>63</v>
          </cell>
          <cell r="B68">
            <v>35756</v>
          </cell>
          <cell r="C68" t="str">
            <v>コンピュータ関連</v>
          </cell>
          <cell r="E68">
            <v>516</v>
          </cell>
          <cell r="F68" t="str">
            <v>図書研究費</v>
          </cell>
          <cell r="G68">
            <v>100</v>
          </cell>
          <cell r="H68" t="str">
            <v>現金</v>
          </cell>
          <cell r="J68">
            <v>3683</v>
          </cell>
          <cell r="K68">
            <v>-585443</v>
          </cell>
        </row>
        <row r="69">
          <cell r="A69">
            <v>64</v>
          </cell>
          <cell r="B69">
            <v>35757</v>
          </cell>
          <cell r="C69" t="str">
            <v>コンピュータ関連</v>
          </cell>
          <cell r="E69">
            <v>516</v>
          </cell>
          <cell r="F69" t="str">
            <v>図書研究費</v>
          </cell>
          <cell r="G69">
            <v>100</v>
          </cell>
          <cell r="H69" t="str">
            <v>現金</v>
          </cell>
          <cell r="J69">
            <v>999</v>
          </cell>
          <cell r="K69">
            <v>-586442</v>
          </cell>
        </row>
        <row r="70">
          <cell r="A70">
            <v>65</v>
          </cell>
          <cell r="B70">
            <v>35757</v>
          </cell>
          <cell r="C70" t="str">
            <v>FAX(ビ・アーム）</v>
          </cell>
          <cell r="E70">
            <v>523</v>
          </cell>
          <cell r="F70" t="str">
            <v>通信費</v>
          </cell>
          <cell r="G70">
            <v>100</v>
          </cell>
          <cell r="H70" t="str">
            <v>現金</v>
          </cell>
          <cell r="J70">
            <v>200</v>
          </cell>
          <cell r="K70">
            <v>-586642</v>
          </cell>
        </row>
        <row r="71">
          <cell r="A71">
            <v>66</v>
          </cell>
          <cell r="B71">
            <v>35760</v>
          </cell>
          <cell r="C71" t="str">
            <v>家賃</v>
          </cell>
          <cell r="E71">
            <v>528</v>
          </cell>
          <cell r="F71" t="str">
            <v>地代・家賃</v>
          </cell>
          <cell r="G71">
            <v>100</v>
          </cell>
          <cell r="H71" t="str">
            <v>現金</v>
          </cell>
          <cell r="J71">
            <v>89000</v>
          </cell>
          <cell r="K71">
            <v>-675642</v>
          </cell>
        </row>
        <row r="72">
          <cell r="A72">
            <v>67</v>
          </cell>
          <cell r="B72">
            <v>35761</v>
          </cell>
          <cell r="C72" t="str">
            <v>FAX（エステック）</v>
          </cell>
          <cell r="E72">
            <v>523</v>
          </cell>
          <cell r="F72" t="str">
            <v>通信費</v>
          </cell>
          <cell r="G72">
            <v>100</v>
          </cell>
          <cell r="H72" t="str">
            <v>現金</v>
          </cell>
          <cell r="J72">
            <v>150</v>
          </cell>
          <cell r="K72">
            <v>-675792</v>
          </cell>
        </row>
        <row r="73">
          <cell r="A73">
            <v>68</v>
          </cell>
          <cell r="B73">
            <v>35764</v>
          </cell>
          <cell r="C73" t="str">
            <v>コンピュータ関連</v>
          </cell>
          <cell r="E73">
            <v>516</v>
          </cell>
          <cell r="F73" t="str">
            <v>図書研究費</v>
          </cell>
          <cell r="G73">
            <v>100</v>
          </cell>
          <cell r="H73" t="str">
            <v>現金</v>
          </cell>
          <cell r="J73">
            <v>1000</v>
          </cell>
          <cell r="K73">
            <v>-676792</v>
          </cell>
        </row>
        <row r="74">
          <cell r="A74">
            <v>69</v>
          </cell>
          <cell r="B74">
            <v>35764</v>
          </cell>
          <cell r="C74" t="str">
            <v>カレンダー</v>
          </cell>
          <cell r="E74">
            <v>524</v>
          </cell>
          <cell r="F74" t="str">
            <v>事務消耗品費</v>
          </cell>
          <cell r="G74">
            <v>100</v>
          </cell>
          <cell r="H74" t="str">
            <v>現金</v>
          </cell>
          <cell r="J74">
            <v>892</v>
          </cell>
          <cell r="K74">
            <v>-677684</v>
          </cell>
        </row>
        <row r="75">
          <cell r="A75">
            <v>70</v>
          </cell>
          <cell r="B75">
            <v>35770</v>
          </cell>
          <cell r="C75" t="str">
            <v>会社関連</v>
          </cell>
          <cell r="E75">
            <v>516</v>
          </cell>
          <cell r="F75" t="str">
            <v>図書研究費</v>
          </cell>
          <cell r="G75">
            <v>100</v>
          </cell>
          <cell r="H75" t="str">
            <v>現金</v>
          </cell>
          <cell r="J75">
            <v>3710</v>
          </cell>
          <cell r="K75">
            <v>-681394</v>
          </cell>
        </row>
        <row r="76">
          <cell r="A76">
            <v>71</v>
          </cell>
          <cell r="B76">
            <v>35770</v>
          </cell>
          <cell r="C76" t="str">
            <v>電話料金</v>
          </cell>
          <cell r="E76">
            <v>523</v>
          </cell>
          <cell r="F76" t="str">
            <v>通信費</v>
          </cell>
          <cell r="G76">
            <v>100</v>
          </cell>
          <cell r="H76" t="str">
            <v>現金</v>
          </cell>
          <cell r="J76">
            <v>3150</v>
          </cell>
          <cell r="K76">
            <v>-684544</v>
          </cell>
        </row>
        <row r="77">
          <cell r="A77">
            <v>72</v>
          </cell>
          <cell r="B77">
            <v>35770</v>
          </cell>
          <cell r="C77" t="str">
            <v>ファイル・筆記用品</v>
          </cell>
          <cell r="E77">
            <v>524</v>
          </cell>
          <cell r="F77" t="str">
            <v>事務消耗品費</v>
          </cell>
          <cell r="G77">
            <v>100</v>
          </cell>
          <cell r="H77" t="str">
            <v>現金</v>
          </cell>
          <cell r="J77">
            <v>2650</v>
          </cell>
          <cell r="K77">
            <v>-687194</v>
          </cell>
        </row>
        <row r="78">
          <cell r="A78">
            <v>73</v>
          </cell>
          <cell r="B78">
            <v>35771</v>
          </cell>
          <cell r="C78" t="str">
            <v>ごみ袋他</v>
          </cell>
          <cell r="E78">
            <v>538</v>
          </cell>
          <cell r="F78" t="str">
            <v>雑費</v>
          </cell>
          <cell r="G78">
            <v>100</v>
          </cell>
          <cell r="H78" t="str">
            <v>現金</v>
          </cell>
          <cell r="J78">
            <v>528</v>
          </cell>
          <cell r="K78">
            <v>-687722</v>
          </cell>
        </row>
        <row r="79">
          <cell r="A79">
            <v>74</v>
          </cell>
          <cell r="B79">
            <v>35774</v>
          </cell>
          <cell r="C79" t="str">
            <v>洗剤</v>
          </cell>
          <cell r="E79">
            <v>525</v>
          </cell>
          <cell r="F79" t="str">
            <v>消耗品費</v>
          </cell>
          <cell r="G79">
            <v>100</v>
          </cell>
          <cell r="H79" t="str">
            <v>現金</v>
          </cell>
          <cell r="J79">
            <v>522</v>
          </cell>
          <cell r="K79">
            <v>-688244</v>
          </cell>
        </row>
        <row r="80">
          <cell r="A80">
            <v>75</v>
          </cell>
          <cell r="B80">
            <v>35775</v>
          </cell>
          <cell r="C80" t="str">
            <v>カーボン紙</v>
          </cell>
          <cell r="E80">
            <v>524</v>
          </cell>
          <cell r="F80" t="str">
            <v>事務消耗品費</v>
          </cell>
          <cell r="G80">
            <v>100</v>
          </cell>
          <cell r="H80" t="str">
            <v>現金</v>
          </cell>
          <cell r="J80">
            <v>577</v>
          </cell>
          <cell r="K80">
            <v>-688821</v>
          </cell>
        </row>
        <row r="81">
          <cell r="A81">
            <v>76</v>
          </cell>
          <cell r="B81">
            <v>35776</v>
          </cell>
          <cell r="C81" t="str">
            <v>定款認証手数料</v>
          </cell>
          <cell r="E81">
            <v>512</v>
          </cell>
          <cell r="F81" t="str">
            <v>支払手数料</v>
          </cell>
          <cell r="G81">
            <v>100</v>
          </cell>
          <cell r="H81" t="str">
            <v>現金</v>
          </cell>
          <cell r="J81">
            <v>50000</v>
          </cell>
          <cell r="K81">
            <v>-738821</v>
          </cell>
        </row>
        <row r="82">
          <cell r="A82">
            <v>77</v>
          </cell>
          <cell r="B82">
            <v>35776</v>
          </cell>
          <cell r="C82" t="str">
            <v>謄本手数料</v>
          </cell>
          <cell r="E82">
            <v>512</v>
          </cell>
          <cell r="F82" t="str">
            <v>支払手数料</v>
          </cell>
          <cell r="G82">
            <v>100</v>
          </cell>
          <cell r="H82" t="str">
            <v>現金</v>
          </cell>
          <cell r="J82">
            <v>1250</v>
          </cell>
          <cell r="K82">
            <v>-740071</v>
          </cell>
        </row>
        <row r="83">
          <cell r="A83">
            <v>78</v>
          </cell>
          <cell r="B83">
            <v>35776</v>
          </cell>
          <cell r="C83" t="str">
            <v>印紙</v>
          </cell>
          <cell r="E83">
            <v>526</v>
          </cell>
          <cell r="F83" t="str">
            <v>租税公課</v>
          </cell>
          <cell r="G83">
            <v>100</v>
          </cell>
          <cell r="H83" t="str">
            <v>現金</v>
          </cell>
          <cell r="J83">
            <v>40000</v>
          </cell>
          <cell r="K83">
            <v>-780071</v>
          </cell>
        </row>
        <row r="84">
          <cell r="A84">
            <v>79</v>
          </cell>
          <cell r="B84">
            <v>35778</v>
          </cell>
          <cell r="C84" t="str">
            <v>宅配便(書類）</v>
          </cell>
          <cell r="E84">
            <v>511</v>
          </cell>
          <cell r="F84" t="str">
            <v>運賃</v>
          </cell>
          <cell r="G84">
            <v>100</v>
          </cell>
          <cell r="H84" t="str">
            <v>現金</v>
          </cell>
          <cell r="J84">
            <v>1060</v>
          </cell>
          <cell r="K84">
            <v>-781131</v>
          </cell>
        </row>
        <row r="85">
          <cell r="A85">
            <v>80</v>
          </cell>
          <cell r="B85">
            <v>35778</v>
          </cell>
          <cell r="C85" t="str">
            <v>筆記用品</v>
          </cell>
          <cell r="E85">
            <v>524</v>
          </cell>
          <cell r="F85" t="str">
            <v>事務消耗品費</v>
          </cell>
          <cell r="G85">
            <v>100</v>
          </cell>
          <cell r="H85" t="str">
            <v>現金</v>
          </cell>
          <cell r="J85">
            <v>525</v>
          </cell>
          <cell r="K85">
            <v>-781656</v>
          </cell>
        </row>
        <row r="86">
          <cell r="A86">
            <v>81</v>
          </cell>
          <cell r="B86">
            <v>35779</v>
          </cell>
          <cell r="C86" t="str">
            <v>電気</v>
          </cell>
          <cell r="D86" t="str">
            <v>東京電力</v>
          </cell>
          <cell r="E86">
            <v>530</v>
          </cell>
          <cell r="F86" t="str">
            <v>水道光熱費</v>
          </cell>
          <cell r="G86">
            <v>114</v>
          </cell>
          <cell r="H86" t="str">
            <v>普通預金</v>
          </cell>
          <cell r="J86">
            <v>3919</v>
          </cell>
          <cell r="K86">
            <v>-785575</v>
          </cell>
        </row>
        <row r="87">
          <cell r="A87">
            <v>82</v>
          </cell>
          <cell r="B87">
            <v>35779</v>
          </cell>
          <cell r="C87" t="str">
            <v>印鑑証明</v>
          </cell>
          <cell r="E87">
            <v>538</v>
          </cell>
          <cell r="F87" t="str">
            <v>雑費</v>
          </cell>
          <cell r="G87">
            <v>100</v>
          </cell>
          <cell r="H87" t="str">
            <v>現金</v>
          </cell>
          <cell r="J87">
            <v>900</v>
          </cell>
          <cell r="K87">
            <v>-786475</v>
          </cell>
        </row>
        <row r="88">
          <cell r="A88">
            <v>83</v>
          </cell>
          <cell r="B88">
            <v>35780</v>
          </cell>
          <cell r="C88" t="str">
            <v>クリアファイル</v>
          </cell>
          <cell r="E88">
            <v>524</v>
          </cell>
          <cell r="F88" t="str">
            <v>事務消耗品費</v>
          </cell>
          <cell r="G88">
            <v>100</v>
          </cell>
          <cell r="H88" t="str">
            <v>現金</v>
          </cell>
          <cell r="J88">
            <v>1600</v>
          </cell>
          <cell r="K88">
            <v>-788075</v>
          </cell>
        </row>
        <row r="89">
          <cell r="A89">
            <v>84</v>
          </cell>
          <cell r="B89">
            <v>35781</v>
          </cell>
          <cell r="C89" t="str">
            <v>出資払込金取扱手数料</v>
          </cell>
          <cell r="E89">
            <v>512</v>
          </cell>
          <cell r="F89" t="str">
            <v>支払手数料</v>
          </cell>
          <cell r="G89">
            <v>100</v>
          </cell>
          <cell r="H89" t="str">
            <v>現金</v>
          </cell>
          <cell r="J89">
            <v>7500</v>
          </cell>
          <cell r="K89">
            <v>-795575</v>
          </cell>
        </row>
        <row r="90">
          <cell r="A90">
            <v>85</v>
          </cell>
          <cell r="B90">
            <v>35782</v>
          </cell>
          <cell r="C90" t="str">
            <v>コピー</v>
          </cell>
          <cell r="E90">
            <v>524</v>
          </cell>
          <cell r="F90" t="str">
            <v>事務消耗品費</v>
          </cell>
          <cell r="G90">
            <v>100</v>
          </cell>
          <cell r="H90" t="str">
            <v>現金</v>
          </cell>
          <cell r="J90">
            <v>420</v>
          </cell>
          <cell r="K90">
            <v>-795995</v>
          </cell>
        </row>
        <row r="91">
          <cell r="A91">
            <v>86</v>
          </cell>
          <cell r="B91">
            <v>35783</v>
          </cell>
          <cell r="C91" t="str">
            <v>ガス</v>
          </cell>
          <cell r="D91" t="str">
            <v>東京ガス</v>
          </cell>
          <cell r="E91">
            <v>530</v>
          </cell>
          <cell r="F91" t="str">
            <v>水道光熱費</v>
          </cell>
          <cell r="G91">
            <v>114</v>
          </cell>
          <cell r="H91" t="str">
            <v>普通預金</v>
          </cell>
          <cell r="J91">
            <v>4154</v>
          </cell>
          <cell r="K91">
            <v>-800149</v>
          </cell>
        </row>
        <row r="92">
          <cell r="A92">
            <v>87</v>
          </cell>
          <cell r="B92">
            <v>35786</v>
          </cell>
          <cell r="C92" t="str">
            <v>収納ケース</v>
          </cell>
          <cell r="E92">
            <v>525</v>
          </cell>
          <cell r="F92" t="str">
            <v>消耗品費</v>
          </cell>
          <cell r="G92">
            <v>100</v>
          </cell>
          <cell r="H92" t="str">
            <v>現金</v>
          </cell>
          <cell r="J92">
            <v>1050</v>
          </cell>
          <cell r="K92">
            <v>-801199</v>
          </cell>
        </row>
        <row r="93">
          <cell r="A93">
            <v>88</v>
          </cell>
          <cell r="B93">
            <v>35786</v>
          </cell>
          <cell r="C93" t="str">
            <v>ステープラ・ボールペン他</v>
          </cell>
          <cell r="E93">
            <v>524</v>
          </cell>
          <cell r="F93" t="str">
            <v>事務消耗品費</v>
          </cell>
          <cell r="G93">
            <v>100</v>
          </cell>
          <cell r="H93" t="str">
            <v>現金</v>
          </cell>
          <cell r="J93">
            <v>1596</v>
          </cell>
          <cell r="K93">
            <v>-802795</v>
          </cell>
        </row>
        <row r="94">
          <cell r="A94">
            <v>89</v>
          </cell>
          <cell r="B94">
            <v>35786</v>
          </cell>
          <cell r="C94" t="str">
            <v>コピー</v>
          </cell>
          <cell r="E94">
            <v>524</v>
          </cell>
          <cell r="F94" t="str">
            <v>事務消耗品費</v>
          </cell>
          <cell r="G94">
            <v>100</v>
          </cell>
          <cell r="H94" t="str">
            <v>現金</v>
          </cell>
          <cell r="J94">
            <v>672</v>
          </cell>
          <cell r="K94">
            <v>-803467</v>
          </cell>
        </row>
        <row r="95">
          <cell r="A95">
            <v>90</v>
          </cell>
          <cell r="B95">
            <v>35788</v>
          </cell>
          <cell r="C95" t="str">
            <v>コンピュータ関連</v>
          </cell>
          <cell r="E95">
            <v>516</v>
          </cell>
          <cell r="F95" t="str">
            <v>図書研究費</v>
          </cell>
          <cell r="G95">
            <v>100</v>
          </cell>
          <cell r="H95" t="str">
            <v>現金</v>
          </cell>
          <cell r="J95">
            <v>788</v>
          </cell>
          <cell r="K95">
            <v>-804255</v>
          </cell>
        </row>
        <row r="96">
          <cell r="A96">
            <v>91</v>
          </cell>
          <cell r="B96">
            <v>35789</v>
          </cell>
          <cell r="C96" t="str">
            <v>朱肉</v>
          </cell>
          <cell r="E96">
            <v>524</v>
          </cell>
          <cell r="F96" t="str">
            <v>事務消耗品費</v>
          </cell>
          <cell r="G96">
            <v>100</v>
          </cell>
          <cell r="H96" t="str">
            <v>現金</v>
          </cell>
          <cell r="J96">
            <v>2700</v>
          </cell>
          <cell r="K96">
            <v>-806955</v>
          </cell>
        </row>
        <row r="97">
          <cell r="A97">
            <v>92</v>
          </cell>
          <cell r="B97">
            <v>35789</v>
          </cell>
          <cell r="C97" t="str">
            <v>プリンタインクカートリッジ</v>
          </cell>
          <cell r="E97">
            <v>524</v>
          </cell>
          <cell r="F97" t="str">
            <v>事務消耗品費</v>
          </cell>
          <cell r="G97">
            <v>100</v>
          </cell>
          <cell r="H97" t="str">
            <v>現金</v>
          </cell>
          <cell r="J97">
            <v>980</v>
          </cell>
          <cell r="K97">
            <v>-807935</v>
          </cell>
        </row>
        <row r="98">
          <cell r="A98">
            <v>93</v>
          </cell>
          <cell r="B98">
            <v>35789</v>
          </cell>
          <cell r="C98" t="str">
            <v>家賃</v>
          </cell>
          <cell r="E98">
            <v>528</v>
          </cell>
          <cell r="F98" t="str">
            <v>地代・家賃</v>
          </cell>
          <cell r="G98">
            <v>100</v>
          </cell>
          <cell r="H98" t="str">
            <v>現金</v>
          </cell>
          <cell r="J98">
            <v>89000</v>
          </cell>
          <cell r="K98">
            <v>-896935</v>
          </cell>
        </row>
        <row r="99">
          <cell r="A99">
            <v>94</v>
          </cell>
          <cell r="B99">
            <v>35790</v>
          </cell>
          <cell r="C99" t="str">
            <v>テレビ受信料</v>
          </cell>
          <cell r="D99" t="str">
            <v>ＮＨＫ</v>
          </cell>
          <cell r="E99">
            <v>538</v>
          </cell>
          <cell r="F99" t="str">
            <v>雑費</v>
          </cell>
          <cell r="G99">
            <v>114</v>
          </cell>
          <cell r="H99" t="str">
            <v>普通預金</v>
          </cell>
          <cell r="J99">
            <v>7650</v>
          </cell>
          <cell r="K99">
            <v>-904585</v>
          </cell>
        </row>
        <row r="100">
          <cell r="A100">
            <v>95</v>
          </cell>
          <cell r="B100">
            <v>35790</v>
          </cell>
          <cell r="C100" t="str">
            <v>登記用収入印紙</v>
          </cell>
          <cell r="E100">
            <v>526</v>
          </cell>
          <cell r="F100" t="str">
            <v>租税公課</v>
          </cell>
          <cell r="G100">
            <v>100</v>
          </cell>
          <cell r="H100" t="str">
            <v>現金</v>
          </cell>
          <cell r="J100">
            <v>60000</v>
          </cell>
          <cell r="K100">
            <v>-964585</v>
          </cell>
        </row>
        <row r="101">
          <cell r="A101">
            <v>96</v>
          </cell>
          <cell r="B101">
            <v>35791</v>
          </cell>
          <cell r="C101" t="str">
            <v>システム手帳</v>
          </cell>
          <cell r="E101">
            <v>524</v>
          </cell>
          <cell r="F101" t="str">
            <v>事務消耗品費</v>
          </cell>
          <cell r="G101">
            <v>100</v>
          </cell>
          <cell r="H101" t="str">
            <v>現金</v>
          </cell>
          <cell r="J101">
            <v>8547</v>
          </cell>
          <cell r="K101">
            <v>-973132</v>
          </cell>
        </row>
        <row r="102">
          <cell r="A102">
            <v>97</v>
          </cell>
          <cell r="B102">
            <v>35791</v>
          </cell>
          <cell r="C102" t="str">
            <v>ハンガー</v>
          </cell>
          <cell r="E102">
            <v>525</v>
          </cell>
          <cell r="F102" t="str">
            <v>消耗品費</v>
          </cell>
          <cell r="G102">
            <v>100</v>
          </cell>
          <cell r="H102" t="str">
            <v>現金</v>
          </cell>
          <cell r="J102">
            <v>525</v>
          </cell>
          <cell r="K102">
            <v>-973657</v>
          </cell>
        </row>
        <row r="103">
          <cell r="A103">
            <v>98</v>
          </cell>
          <cell r="B103">
            <v>35792</v>
          </cell>
          <cell r="C103" t="str">
            <v>茶菓子代</v>
          </cell>
          <cell r="E103">
            <v>503</v>
          </cell>
          <cell r="F103" t="str">
            <v>福利厚生費</v>
          </cell>
          <cell r="G103">
            <v>100</v>
          </cell>
          <cell r="H103" t="str">
            <v>現金</v>
          </cell>
          <cell r="J103">
            <v>1644</v>
          </cell>
          <cell r="K103">
            <v>-975301</v>
          </cell>
        </row>
        <row r="104">
          <cell r="A104">
            <v>99</v>
          </cell>
          <cell r="B104">
            <v>35793</v>
          </cell>
          <cell r="C104" t="str">
            <v>(株）ビ・アーム山際社長</v>
          </cell>
          <cell r="E104">
            <v>535</v>
          </cell>
          <cell r="F104" t="str">
            <v>会議費</v>
          </cell>
          <cell r="G104">
            <v>100</v>
          </cell>
          <cell r="H104" t="str">
            <v>現金</v>
          </cell>
          <cell r="J104">
            <v>5092</v>
          </cell>
          <cell r="K104">
            <v>-980393</v>
          </cell>
        </row>
        <row r="105">
          <cell r="A105">
            <v>100</v>
          </cell>
          <cell r="B105">
            <v>35793</v>
          </cell>
          <cell r="C105" t="str">
            <v>電話料金</v>
          </cell>
          <cell r="D105" t="str">
            <v>ＤＤＩポケット</v>
          </cell>
          <cell r="E105">
            <v>523</v>
          </cell>
          <cell r="F105" t="str">
            <v>通信費</v>
          </cell>
          <cell r="G105">
            <v>114</v>
          </cell>
          <cell r="H105" t="str">
            <v>普通預金</v>
          </cell>
          <cell r="J105">
            <v>5292</v>
          </cell>
          <cell r="K105">
            <v>-985685</v>
          </cell>
        </row>
        <row r="106">
          <cell r="A106">
            <v>101</v>
          </cell>
          <cell r="B106">
            <v>35793</v>
          </cell>
          <cell r="C106" t="str">
            <v>コンピュータ関連</v>
          </cell>
          <cell r="E106">
            <v>516</v>
          </cell>
          <cell r="F106" t="str">
            <v>図書研究費</v>
          </cell>
          <cell r="G106">
            <v>100</v>
          </cell>
          <cell r="H106" t="str">
            <v>現金</v>
          </cell>
          <cell r="J106">
            <v>530</v>
          </cell>
          <cell r="K106">
            <v>-986215</v>
          </cell>
        </row>
        <row r="107">
          <cell r="A107">
            <v>102</v>
          </cell>
          <cell r="B107">
            <v>35793</v>
          </cell>
          <cell r="C107" t="str">
            <v>語学</v>
          </cell>
          <cell r="E107">
            <v>516</v>
          </cell>
          <cell r="F107" t="str">
            <v>図書研究費</v>
          </cell>
          <cell r="G107">
            <v>100</v>
          </cell>
          <cell r="H107" t="str">
            <v>現金</v>
          </cell>
          <cell r="J107">
            <v>1050</v>
          </cell>
          <cell r="K107">
            <v>-987265</v>
          </cell>
        </row>
        <row r="108">
          <cell r="A108">
            <v>103</v>
          </cell>
          <cell r="B108">
            <v>35794</v>
          </cell>
          <cell r="C108" t="str">
            <v>薬</v>
          </cell>
          <cell r="E108">
            <v>538</v>
          </cell>
          <cell r="F108" t="str">
            <v>雑費</v>
          </cell>
          <cell r="G108">
            <v>100</v>
          </cell>
          <cell r="H108" t="str">
            <v>現金</v>
          </cell>
          <cell r="J108">
            <v>3349</v>
          </cell>
          <cell r="K108">
            <v>-990614</v>
          </cell>
        </row>
        <row r="109">
          <cell r="A109">
            <v>104</v>
          </cell>
          <cell r="B109">
            <v>35794</v>
          </cell>
          <cell r="C109" t="str">
            <v>フロッピーファイル</v>
          </cell>
          <cell r="E109">
            <v>524</v>
          </cell>
          <cell r="F109" t="str">
            <v>事務消耗品費</v>
          </cell>
          <cell r="G109">
            <v>100</v>
          </cell>
          <cell r="H109" t="str">
            <v>現金</v>
          </cell>
          <cell r="J109">
            <v>5985</v>
          </cell>
          <cell r="K109">
            <v>-996599</v>
          </cell>
        </row>
        <row r="110">
          <cell r="A110">
            <v>105</v>
          </cell>
          <cell r="B110">
            <v>35795</v>
          </cell>
          <cell r="C110" t="str">
            <v>定期代</v>
          </cell>
          <cell r="E110">
            <v>522</v>
          </cell>
          <cell r="F110" t="str">
            <v>旅費交通費</v>
          </cell>
          <cell r="G110">
            <v>100</v>
          </cell>
          <cell r="H110" t="str">
            <v>現金</v>
          </cell>
          <cell r="J110">
            <v>7600</v>
          </cell>
          <cell r="K110">
            <v>-1004199</v>
          </cell>
        </row>
        <row r="111">
          <cell r="A111">
            <v>106</v>
          </cell>
          <cell r="B111">
            <v>35795</v>
          </cell>
          <cell r="C111" t="str">
            <v>テニスコート代</v>
          </cell>
          <cell r="E111">
            <v>521</v>
          </cell>
          <cell r="F111" t="str">
            <v>接待交際費</v>
          </cell>
          <cell r="G111">
            <v>100</v>
          </cell>
          <cell r="H111" t="str">
            <v>現金</v>
          </cell>
          <cell r="J111">
            <v>5000</v>
          </cell>
          <cell r="K111">
            <v>-1009199</v>
          </cell>
        </row>
        <row r="112">
          <cell r="A112">
            <v>107</v>
          </cell>
          <cell r="B112">
            <v>35796</v>
          </cell>
          <cell r="C112" t="str">
            <v>テニスコート代</v>
          </cell>
          <cell r="D112" t="str">
            <v>明治神宮外苑軟式球場</v>
          </cell>
          <cell r="E112">
            <v>521</v>
          </cell>
          <cell r="F112" t="str">
            <v>接待交際費</v>
          </cell>
          <cell r="G112">
            <v>100</v>
          </cell>
          <cell r="H112" t="str">
            <v>現金</v>
          </cell>
          <cell r="J112">
            <v>10000</v>
          </cell>
          <cell r="K112">
            <v>-1019199</v>
          </cell>
        </row>
        <row r="113">
          <cell r="A113">
            <v>108</v>
          </cell>
          <cell r="B113">
            <v>35798</v>
          </cell>
          <cell r="C113" t="str">
            <v>テニスボール</v>
          </cell>
          <cell r="D113" t="str">
            <v>Victoria</v>
          </cell>
          <cell r="E113">
            <v>503</v>
          </cell>
          <cell r="F113" t="str">
            <v>福利厚生費</v>
          </cell>
          <cell r="G113">
            <v>100</v>
          </cell>
          <cell r="H113" t="str">
            <v>現金</v>
          </cell>
          <cell r="J113">
            <v>1470</v>
          </cell>
          <cell r="K113">
            <v>-1020669</v>
          </cell>
        </row>
        <row r="114">
          <cell r="A114">
            <v>109</v>
          </cell>
          <cell r="B114">
            <v>35798</v>
          </cell>
          <cell r="C114" t="str">
            <v>メトロカード</v>
          </cell>
          <cell r="D114" t="str">
            <v>営団地下鉄</v>
          </cell>
          <cell r="E114">
            <v>522</v>
          </cell>
          <cell r="F114" t="str">
            <v>旅費交通費</v>
          </cell>
          <cell r="G114">
            <v>100</v>
          </cell>
          <cell r="H114" t="str">
            <v>現金</v>
          </cell>
          <cell r="J114">
            <v>1000</v>
          </cell>
          <cell r="K114">
            <v>-1021669</v>
          </cell>
        </row>
        <row r="115">
          <cell r="A115">
            <v>110</v>
          </cell>
          <cell r="B115">
            <v>35799</v>
          </cell>
          <cell r="C115" t="str">
            <v>FD.CD-ROMファイル</v>
          </cell>
          <cell r="D115" t="str">
            <v>伊勢丹</v>
          </cell>
          <cell r="E115">
            <v>524</v>
          </cell>
          <cell r="F115" t="str">
            <v>事務消耗品費</v>
          </cell>
          <cell r="G115">
            <v>100</v>
          </cell>
          <cell r="H115" t="str">
            <v>現金</v>
          </cell>
          <cell r="J115">
            <v>4935</v>
          </cell>
          <cell r="K115">
            <v>-1026604</v>
          </cell>
        </row>
        <row r="116">
          <cell r="A116">
            <v>111</v>
          </cell>
          <cell r="B116">
            <v>35799</v>
          </cell>
          <cell r="C116" t="str">
            <v>新年の挨拶手土産</v>
          </cell>
          <cell r="D116" t="str">
            <v>CARA</v>
          </cell>
          <cell r="E116">
            <v>521</v>
          </cell>
          <cell r="F116" t="str">
            <v>接待交際費</v>
          </cell>
          <cell r="G116">
            <v>100</v>
          </cell>
          <cell r="H116" t="str">
            <v>現金</v>
          </cell>
          <cell r="J116">
            <v>3150</v>
          </cell>
          <cell r="K116">
            <v>-1029754</v>
          </cell>
        </row>
        <row r="117">
          <cell r="A117">
            <v>112</v>
          </cell>
          <cell r="B117">
            <v>35800</v>
          </cell>
          <cell r="C117" t="str">
            <v>BGM用ＣＤ</v>
          </cell>
          <cell r="D117" t="str">
            <v>東急</v>
          </cell>
          <cell r="E117">
            <v>525</v>
          </cell>
          <cell r="F117" t="str">
            <v>消耗品費</v>
          </cell>
          <cell r="G117">
            <v>100</v>
          </cell>
          <cell r="H117" t="str">
            <v>現金</v>
          </cell>
          <cell r="J117">
            <v>5813</v>
          </cell>
          <cell r="K117">
            <v>-1035567</v>
          </cell>
        </row>
        <row r="118">
          <cell r="A118">
            <v>113</v>
          </cell>
          <cell r="B118">
            <v>35800</v>
          </cell>
          <cell r="C118" t="str">
            <v>書類入れ</v>
          </cell>
          <cell r="D118" t="str">
            <v>高島屋</v>
          </cell>
          <cell r="E118">
            <v>525</v>
          </cell>
          <cell r="F118" t="str">
            <v>消耗品費</v>
          </cell>
          <cell r="G118">
            <v>100</v>
          </cell>
          <cell r="H118" t="str">
            <v>現金</v>
          </cell>
          <cell r="J118">
            <v>1050</v>
          </cell>
          <cell r="K118">
            <v>-1036617</v>
          </cell>
        </row>
        <row r="119">
          <cell r="A119">
            <v>114</v>
          </cell>
          <cell r="B119">
            <v>35800</v>
          </cell>
          <cell r="C119" t="str">
            <v>フローチャート定規</v>
          </cell>
          <cell r="D119" t="str">
            <v>ダイエー</v>
          </cell>
          <cell r="E119">
            <v>524</v>
          </cell>
          <cell r="F119" t="str">
            <v>事務消耗品費</v>
          </cell>
          <cell r="G119">
            <v>100</v>
          </cell>
          <cell r="H119" t="str">
            <v>現金</v>
          </cell>
          <cell r="J119">
            <v>840</v>
          </cell>
          <cell r="K119">
            <v>-1037457</v>
          </cell>
        </row>
        <row r="120">
          <cell r="A120">
            <v>115</v>
          </cell>
          <cell r="B120">
            <v>35800</v>
          </cell>
          <cell r="C120" t="str">
            <v>ソフト</v>
          </cell>
          <cell r="D120" t="str">
            <v>ビックカメラ</v>
          </cell>
          <cell r="E120">
            <v>516</v>
          </cell>
          <cell r="F120" t="str">
            <v>図書研究費</v>
          </cell>
          <cell r="G120">
            <v>100</v>
          </cell>
          <cell r="H120" t="str">
            <v>現金</v>
          </cell>
          <cell r="J120">
            <v>16543</v>
          </cell>
          <cell r="K120">
            <v>-1054000</v>
          </cell>
        </row>
        <row r="121">
          <cell r="A121">
            <v>116</v>
          </cell>
          <cell r="B121">
            <v>35801</v>
          </cell>
          <cell r="C121" t="str">
            <v>新年の挨拶</v>
          </cell>
          <cell r="D121" t="str">
            <v>魚久</v>
          </cell>
          <cell r="E121">
            <v>521</v>
          </cell>
          <cell r="F121" t="str">
            <v>接待交際費</v>
          </cell>
          <cell r="G121">
            <v>100</v>
          </cell>
          <cell r="H121" t="str">
            <v>現金</v>
          </cell>
          <cell r="J121">
            <v>8500</v>
          </cell>
          <cell r="K121">
            <v>-1062500</v>
          </cell>
        </row>
        <row r="122">
          <cell r="A122">
            <v>117</v>
          </cell>
          <cell r="B122">
            <v>35802</v>
          </cell>
          <cell r="C122" t="str">
            <v>お茶</v>
          </cell>
          <cell r="D122" t="str">
            <v>ファミリーマート</v>
          </cell>
          <cell r="E122">
            <v>503</v>
          </cell>
          <cell r="F122" t="str">
            <v>福利厚生費</v>
          </cell>
          <cell r="G122">
            <v>100</v>
          </cell>
          <cell r="H122" t="str">
            <v>現金</v>
          </cell>
          <cell r="J122">
            <v>110</v>
          </cell>
          <cell r="K122">
            <v>-1062610</v>
          </cell>
        </row>
        <row r="123">
          <cell r="A123">
            <v>118</v>
          </cell>
          <cell r="B123">
            <v>35802</v>
          </cell>
          <cell r="C123" t="str">
            <v>コンピュータ関連雑誌</v>
          </cell>
          <cell r="D123" t="str">
            <v>ファミリーマート</v>
          </cell>
          <cell r="E123">
            <v>516</v>
          </cell>
          <cell r="F123" t="str">
            <v>図書研究費</v>
          </cell>
          <cell r="G123">
            <v>100</v>
          </cell>
          <cell r="H123" t="str">
            <v>現金</v>
          </cell>
          <cell r="J123">
            <v>260</v>
          </cell>
          <cell r="K123">
            <v>-1062870</v>
          </cell>
        </row>
        <row r="124">
          <cell r="A124">
            <v>119</v>
          </cell>
          <cell r="B124">
            <v>35802</v>
          </cell>
          <cell r="C124" t="str">
            <v>Tカード</v>
          </cell>
          <cell r="D124" t="str">
            <v>東京都交通局</v>
          </cell>
          <cell r="E124">
            <v>522</v>
          </cell>
          <cell r="F124" t="str">
            <v>旅費交通費</v>
          </cell>
          <cell r="G124">
            <v>100</v>
          </cell>
          <cell r="H124" t="str">
            <v>現金</v>
          </cell>
          <cell r="J124">
            <v>3000</v>
          </cell>
          <cell r="K124">
            <v>-1065870</v>
          </cell>
        </row>
        <row r="125">
          <cell r="A125">
            <v>120</v>
          </cell>
          <cell r="B125">
            <v>35804</v>
          </cell>
          <cell r="C125" t="str">
            <v>FAX</v>
          </cell>
          <cell r="D125" t="str">
            <v>ファミリーマート</v>
          </cell>
          <cell r="E125">
            <v>523</v>
          </cell>
          <cell r="F125" t="str">
            <v>通信費</v>
          </cell>
          <cell r="G125">
            <v>100</v>
          </cell>
          <cell r="H125" t="str">
            <v>現金</v>
          </cell>
          <cell r="J125">
            <v>200</v>
          </cell>
          <cell r="K125">
            <v>-1066070</v>
          </cell>
        </row>
        <row r="126">
          <cell r="A126">
            <v>121</v>
          </cell>
          <cell r="B126">
            <v>35805</v>
          </cell>
          <cell r="C126" t="str">
            <v>亀コン伊藤氏</v>
          </cell>
          <cell r="D126" t="str">
            <v>ピアチューレ</v>
          </cell>
          <cell r="E126">
            <v>535</v>
          </cell>
          <cell r="F126" t="str">
            <v>会議費</v>
          </cell>
          <cell r="G126">
            <v>100</v>
          </cell>
          <cell r="H126" t="str">
            <v>現金</v>
          </cell>
          <cell r="J126">
            <v>3244</v>
          </cell>
          <cell r="K126">
            <v>-1069314</v>
          </cell>
        </row>
        <row r="127">
          <cell r="A127">
            <v>122</v>
          </cell>
          <cell r="B127">
            <v>35806</v>
          </cell>
          <cell r="C127" t="str">
            <v>DPソフト</v>
          </cell>
          <cell r="D127" t="str">
            <v>ビックバーン</v>
          </cell>
          <cell r="E127">
            <v>516</v>
          </cell>
          <cell r="F127" t="str">
            <v>図書研究費</v>
          </cell>
          <cell r="G127">
            <v>100</v>
          </cell>
          <cell r="H127" t="str">
            <v>現金</v>
          </cell>
          <cell r="J127">
            <v>1155</v>
          </cell>
          <cell r="K127">
            <v>-1070469</v>
          </cell>
        </row>
        <row r="128">
          <cell r="A128">
            <v>123</v>
          </cell>
          <cell r="B128">
            <v>35806</v>
          </cell>
          <cell r="C128" t="str">
            <v>（株）ビ・アーム</v>
          </cell>
          <cell r="D128" t="str">
            <v>IZUMI</v>
          </cell>
          <cell r="E128">
            <v>521</v>
          </cell>
          <cell r="F128" t="str">
            <v>接待交際費</v>
          </cell>
          <cell r="G128">
            <v>100</v>
          </cell>
          <cell r="H128" t="str">
            <v>現金</v>
          </cell>
          <cell r="J128">
            <v>16590</v>
          </cell>
          <cell r="K128">
            <v>-1087059</v>
          </cell>
        </row>
        <row r="129">
          <cell r="A129">
            <v>124</v>
          </cell>
          <cell r="B129">
            <v>35806</v>
          </cell>
          <cell r="C129" t="str">
            <v>メトロカード</v>
          </cell>
          <cell r="D129" t="str">
            <v>営団地下鉄</v>
          </cell>
          <cell r="E129">
            <v>522</v>
          </cell>
          <cell r="F129" t="str">
            <v>旅費交通費</v>
          </cell>
          <cell r="G129">
            <v>100</v>
          </cell>
          <cell r="H129" t="str">
            <v>現金</v>
          </cell>
          <cell r="J129">
            <v>5000</v>
          </cell>
          <cell r="K129">
            <v>-1092059</v>
          </cell>
        </row>
        <row r="130">
          <cell r="A130">
            <v>125</v>
          </cell>
          <cell r="B130">
            <v>35807</v>
          </cell>
          <cell r="C130" t="str">
            <v>HGP四元氏</v>
          </cell>
          <cell r="D130" t="str">
            <v>ケンタッキー</v>
          </cell>
          <cell r="E130">
            <v>535</v>
          </cell>
          <cell r="F130" t="str">
            <v>会議費</v>
          </cell>
          <cell r="G130">
            <v>100</v>
          </cell>
          <cell r="H130" t="str">
            <v>現金</v>
          </cell>
          <cell r="J130">
            <v>903</v>
          </cell>
          <cell r="K130">
            <v>-1092962</v>
          </cell>
        </row>
        <row r="131">
          <cell r="A131">
            <v>126</v>
          </cell>
          <cell r="B131">
            <v>35808</v>
          </cell>
          <cell r="C131" t="str">
            <v>登記収入印紙</v>
          </cell>
          <cell r="D131" t="str">
            <v>吉村印紙売捌所</v>
          </cell>
          <cell r="E131">
            <v>526</v>
          </cell>
          <cell r="F131" t="str">
            <v>租税公課</v>
          </cell>
          <cell r="G131">
            <v>100</v>
          </cell>
          <cell r="H131" t="str">
            <v>現金</v>
          </cell>
          <cell r="J131">
            <v>5200</v>
          </cell>
          <cell r="K131">
            <v>-1098162</v>
          </cell>
        </row>
        <row r="132">
          <cell r="A132">
            <v>127</v>
          </cell>
          <cell r="B132">
            <v>35809</v>
          </cell>
          <cell r="C132" t="str">
            <v>システム帳</v>
          </cell>
          <cell r="D132" t="str">
            <v>萬力屋</v>
          </cell>
          <cell r="E132">
            <v>525</v>
          </cell>
          <cell r="F132" t="str">
            <v>消耗品費</v>
          </cell>
          <cell r="G132">
            <v>100</v>
          </cell>
          <cell r="H132" t="str">
            <v>現金</v>
          </cell>
          <cell r="J132">
            <v>5040</v>
          </cell>
          <cell r="K132">
            <v>-1103202</v>
          </cell>
        </row>
        <row r="133">
          <cell r="A133">
            <v>128</v>
          </cell>
          <cell r="B133">
            <v>35809</v>
          </cell>
          <cell r="C133" t="str">
            <v>電卓</v>
          </cell>
          <cell r="D133" t="str">
            <v>サンヨー堂</v>
          </cell>
          <cell r="E133">
            <v>524</v>
          </cell>
          <cell r="F133" t="str">
            <v>事務消耗品費</v>
          </cell>
          <cell r="G133">
            <v>100</v>
          </cell>
          <cell r="H133" t="str">
            <v>現金</v>
          </cell>
          <cell r="J133">
            <v>1575</v>
          </cell>
          <cell r="K133">
            <v>-1104777</v>
          </cell>
        </row>
        <row r="134">
          <cell r="A134">
            <v>129</v>
          </cell>
          <cell r="B134">
            <v>35809</v>
          </cell>
          <cell r="C134" t="str">
            <v>電話料金</v>
          </cell>
          <cell r="D134" t="str">
            <v>ＮＴＴ新宿支店</v>
          </cell>
          <cell r="E134">
            <v>523</v>
          </cell>
          <cell r="F134" t="str">
            <v>通信費</v>
          </cell>
          <cell r="G134">
            <v>100</v>
          </cell>
          <cell r="H134" t="str">
            <v>現金</v>
          </cell>
          <cell r="J134">
            <v>2709</v>
          </cell>
          <cell r="K134">
            <v>-1107486</v>
          </cell>
        </row>
        <row r="135">
          <cell r="A135">
            <v>130</v>
          </cell>
          <cell r="B135">
            <v>35809</v>
          </cell>
          <cell r="C135" t="str">
            <v>Tカード</v>
          </cell>
          <cell r="D135" t="str">
            <v>東京都交通局</v>
          </cell>
          <cell r="E135">
            <v>522</v>
          </cell>
          <cell r="F135" t="str">
            <v>旅費交通費</v>
          </cell>
          <cell r="G135">
            <v>100</v>
          </cell>
          <cell r="H135" t="str">
            <v>現金</v>
          </cell>
          <cell r="J135">
            <v>3000</v>
          </cell>
          <cell r="K135">
            <v>-1110486</v>
          </cell>
        </row>
        <row r="136">
          <cell r="A136">
            <v>131</v>
          </cell>
          <cell r="B136">
            <v>35809</v>
          </cell>
          <cell r="C136" t="str">
            <v>FAX</v>
          </cell>
          <cell r="D136" t="str">
            <v>ファミリーマート</v>
          </cell>
          <cell r="E136">
            <v>523</v>
          </cell>
          <cell r="F136" t="str">
            <v>通信費</v>
          </cell>
          <cell r="G136">
            <v>100</v>
          </cell>
          <cell r="H136" t="str">
            <v>現金</v>
          </cell>
          <cell r="J136">
            <v>2200</v>
          </cell>
          <cell r="K136">
            <v>-1112686</v>
          </cell>
        </row>
        <row r="137">
          <cell r="A137">
            <v>132</v>
          </cell>
          <cell r="B137">
            <v>35811</v>
          </cell>
          <cell r="C137" t="str">
            <v>亀コン竹下課長・霞主任</v>
          </cell>
          <cell r="E137">
            <v>535</v>
          </cell>
          <cell r="F137" t="str">
            <v>会議費</v>
          </cell>
          <cell r="G137">
            <v>100</v>
          </cell>
          <cell r="H137" t="str">
            <v>現金</v>
          </cell>
          <cell r="J137">
            <v>4977</v>
          </cell>
          <cell r="K137">
            <v>-1117663</v>
          </cell>
        </row>
        <row r="138">
          <cell r="A138">
            <v>133</v>
          </cell>
          <cell r="B138">
            <v>35811</v>
          </cell>
          <cell r="C138" t="str">
            <v>水道</v>
          </cell>
          <cell r="D138" t="str">
            <v>東京水道局</v>
          </cell>
          <cell r="E138">
            <v>530</v>
          </cell>
          <cell r="F138" t="str">
            <v>水道光熱費</v>
          </cell>
          <cell r="G138">
            <v>114</v>
          </cell>
          <cell r="H138" t="str">
            <v>普通預金</v>
          </cell>
          <cell r="J138">
            <v>4166</v>
          </cell>
          <cell r="K138">
            <v>-1121829</v>
          </cell>
        </row>
        <row r="139">
          <cell r="A139">
            <v>134</v>
          </cell>
          <cell r="B139">
            <v>35811</v>
          </cell>
          <cell r="C139" t="str">
            <v>電気</v>
          </cell>
          <cell r="D139" t="str">
            <v>東京電力</v>
          </cell>
          <cell r="E139">
            <v>530</v>
          </cell>
          <cell r="F139" t="str">
            <v>水道光熱費</v>
          </cell>
          <cell r="G139">
            <v>114</v>
          </cell>
          <cell r="H139" t="str">
            <v>普通預金</v>
          </cell>
          <cell r="J139">
            <v>7591</v>
          </cell>
          <cell r="K139">
            <v>-1129420</v>
          </cell>
        </row>
        <row r="140">
          <cell r="A140">
            <v>135</v>
          </cell>
          <cell r="B140">
            <v>35811</v>
          </cell>
          <cell r="C140" t="str">
            <v>電話料金</v>
          </cell>
          <cell r="D140" t="str">
            <v>日本テレコム</v>
          </cell>
          <cell r="E140">
            <v>523</v>
          </cell>
          <cell r="F140" t="str">
            <v>通信費</v>
          </cell>
          <cell r="G140">
            <v>114</v>
          </cell>
          <cell r="H140" t="str">
            <v>普通預金</v>
          </cell>
          <cell r="J140">
            <v>189</v>
          </cell>
          <cell r="K140">
            <v>-1129609</v>
          </cell>
        </row>
        <row r="141">
          <cell r="A141">
            <v>136</v>
          </cell>
          <cell r="B141">
            <v>35813</v>
          </cell>
          <cell r="C141" t="str">
            <v>夜食代</v>
          </cell>
          <cell r="D141" t="str">
            <v>セイフー</v>
          </cell>
          <cell r="E141">
            <v>503</v>
          </cell>
          <cell r="F141" t="str">
            <v>福利厚生費</v>
          </cell>
          <cell r="G141">
            <v>100</v>
          </cell>
          <cell r="H141" t="str">
            <v>現金</v>
          </cell>
          <cell r="J141">
            <v>2626</v>
          </cell>
          <cell r="K141">
            <v>-1132235</v>
          </cell>
        </row>
        <row r="142">
          <cell r="A142">
            <v>137</v>
          </cell>
          <cell r="B142">
            <v>35814</v>
          </cell>
          <cell r="C142" t="str">
            <v>コピー</v>
          </cell>
          <cell r="D142" t="str">
            <v>Ｋｉｎｋｏ’ｓ</v>
          </cell>
          <cell r="E142">
            <v>524</v>
          </cell>
          <cell r="F142" t="str">
            <v>事務消耗品費</v>
          </cell>
          <cell r="G142">
            <v>100</v>
          </cell>
          <cell r="H142" t="str">
            <v>現金</v>
          </cell>
          <cell r="J142">
            <v>556</v>
          </cell>
          <cell r="K142">
            <v>-1132791</v>
          </cell>
        </row>
        <row r="143">
          <cell r="A143">
            <v>138</v>
          </cell>
          <cell r="B143">
            <v>35815</v>
          </cell>
          <cell r="C143" t="str">
            <v>夜食代</v>
          </cell>
          <cell r="D143" t="str">
            <v>LAWSON</v>
          </cell>
          <cell r="E143">
            <v>503</v>
          </cell>
          <cell r="F143" t="str">
            <v>福利厚生費</v>
          </cell>
          <cell r="G143">
            <v>100</v>
          </cell>
          <cell r="H143" t="str">
            <v>現金</v>
          </cell>
          <cell r="J143">
            <v>260</v>
          </cell>
          <cell r="K143">
            <v>-1133051</v>
          </cell>
        </row>
        <row r="144">
          <cell r="A144">
            <v>139</v>
          </cell>
          <cell r="B144">
            <v>35815</v>
          </cell>
          <cell r="C144" t="str">
            <v>コンピュータ関連雑誌</v>
          </cell>
          <cell r="D144" t="str">
            <v>セイフー</v>
          </cell>
          <cell r="E144">
            <v>516</v>
          </cell>
          <cell r="F144" t="str">
            <v>図書研究費</v>
          </cell>
          <cell r="G144">
            <v>100</v>
          </cell>
          <cell r="H144" t="str">
            <v>現金</v>
          </cell>
          <cell r="J144">
            <v>260</v>
          </cell>
          <cell r="K144">
            <v>-1133311</v>
          </cell>
        </row>
        <row r="145">
          <cell r="A145">
            <v>140</v>
          </cell>
          <cell r="B145">
            <v>35815</v>
          </cell>
          <cell r="C145" t="str">
            <v>夜食代</v>
          </cell>
          <cell r="D145" t="str">
            <v>セイフー</v>
          </cell>
          <cell r="E145">
            <v>503</v>
          </cell>
          <cell r="F145" t="str">
            <v>福利厚生費</v>
          </cell>
          <cell r="G145">
            <v>100</v>
          </cell>
          <cell r="H145" t="str">
            <v>現金</v>
          </cell>
          <cell r="J145">
            <v>2131</v>
          </cell>
          <cell r="K145">
            <v>-1135442</v>
          </cell>
        </row>
        <row r="146">
          <cell r="A146">
            <v>141</v>
          </cell>
          <cell r="B146">
            <v>35815</v>
          </cell>
          <cell r="C146" t="str">
            <v>亀コン永田取締役・竹下課長</v>
          </cell>
          <cell r="D146" t="str">
            <v>ＴＯＮＹ　ＲＯＭＡ’Ｓ</v>
          </cell>
          <cell r="E146">
            <v>521</v>
          </cell>
          <cell r="F146" t="str">
            <v>接待交際費</v>
          </cell>
          <cell r="G146">
            <v>100</v>
          </cell>
          <cell r="H146" t="str">
            <v>現金</v>
          </cell>
          <cell r="J146">
            <v>13513</v>
          </cell>
          <cell r="K146">
            <v>-1148955</v>
          </cell>
        </row>
        <row r="147">
          <cell r="A147">
            <v>142</v>
          </cell>
          <cell r="B147">
            <v>35816</v>
          </cell>
          <cell r="C147" t="str">
            <v>茶菓子代</v>
          </cell>
          <cell r="D147" t="str">
            <v>丸正</v>
          </cell>
          <cell r="E147">
            <v>503</v>
          </cell>
          <cell r="F147" t="str">
            <v>福利厚生費</v>
          </cell>
          <cell r="G147">
            <v>100</v>
          </cell>
          <cell r="H147" t="str">
            <v>現金</v>
          </cell>
          <cell r="J147">
            <v>1899</v>
          </cell>
          <cell r="K147">
            <v>-1150854</v>
          </cell>
        </row>
        <row r="148">
          <cell r="A148">
            <v>143</v>
          </cell>
          <cell r="B148">
            <v>35817</v>
          </cell>
          <cell r="C148" t="str">
            <v>ゴム印</v>
          </cell>
          <cell r="D148" t="str">
            <v>はんこスーパー市ヶ谷</v>
          </cell>
          <cell r="E148">
            <v>524</v>
          </cell>
          <cell r="F148" t="str">
            <v>事務消耗品費</v>
          </cell>
          <cell r="G148">
            <v>100</v>
          </cell>
          <cell r="H148" t="str">
            <v>現金</v>
          </cell>
          <cell r="J148">
            <v>4247</v>
          </cell>
          <cell r="K148">
            <v>-1155101</v>
          </cell>
        </row>
        <row r="149">
          <cell r="A149">
            <v>144</v>
          </cell>
          <cell r="B149">
            <v>35817</v>
          </cell>
          <cell r="C149" t="str">
            <v>亀コン松原社長</v>
          </cell>
          <cell r="D149" t="str">
            <v>ベローチェ</v>
          </cell>
          <cell r="E149">
            <v>535</v>
          </cell>
          <cell r="F149" t="str">
            <v>会議費</v>
          </cell>
          <cell r="G149">
            <v>100</v>
          </cell>
          <cell r="H149" t="str">
            <v>現金</v>
          </cell>
          <cell r="J149">
            <v>346</v>
          </cell>
          <cell r="K149">
            <v>-1155447</v>
          </cell>
        </row>
        <row r="150">
          <cell r="A150">
            <v>145</v>
          </cell>
          <cell r="B150">
            <v>35817</v>
          </cell>
          <cell r="C150" t="str">
            <v>コピー</v>
          </cell>
          <cell r="D150" t="str">
            <v>Ｋｉｎｋｏ’ｓ</v>
          </cell>
          <cell r="E150">
            <v>524</v>
          </cell>
          <cell r="F150" t="str">
            <v>事務消耗品費</v>
          </cell>
          <cell r="G150">
            <v>100</v>
          </cell>
          <cell r="H150" t="str">
            <v>現金</v>
          </cell>
          <cell r="J150">
            <v>210</v>
          </cell>
          <cell r="K150">
            <v>-1155657</v>
          </cell>
        </row>
        <row r="151">
          <cell r="A151">
            <v>146</v>
          </cell>
          <cell r="B151">
            <v>35817</v>
          </cell>
          <cell r="C151" t="str">
            <v>領収書・ボールペン</v>
          </cell>
          <cell r="D151" t="str">
            <v>ロッキー</v>
          </cell>
          <cell r="E151">
            <v>524</v>
          </cell>
          <cell r="F151" t="str">
            <v>事務消耗品費</v>
          </cell>
          <cell r="G151">
            <v>100</v>
          </cell>
          <cell r="H151" t="str">
            <v>現金</v>
          </cell>
          <cell r="J151">
            <v>614</v>
          </cell>
          <cell r="K151">
            <v>-1156271</v>
          </cell>
        </row>
        <row r="152">
          <cell r="A152">
            <v>147</v>
          </cell>
          <cell r="B152">
            <v>35818</v>
          </cell>
          <cell r="C152" t="str">
            <v>統計資料打ち上げ</v>
          </cell>
          <cell r="D152" t="str">
            <v>丸正</v>
          </cell>
          <cell r="E152">
            <v>503</v>
          </cell>
          <cell r="F152" t="str">
            <v>福利厚生費</v>
          </cell>
          <cell r="G152">
            <v>100</v>
          </cell>
          <cell r="H152" t="str">
            <v>現金</v>
          </cell>
          <cell r="J152">
            <v>3164</v>
          </cell>
          <cell r="K152">
            <v>-1159435</v>
          </cell>
        </row>
        <row r="153">
          <cell r="B153">
            <v>35818</v>
          </cell>
          <cell r="C153" t="str">
            <v>Tカード</v>
          </cell>
          <cell r="D153" t="str">
            <v>東京都交通局</v>
          </cell>
          <cell r="E153">
            <v>522</v>
          </cell>
          <cell r="F153" t="str">
            <v>旅費交通費</v>
          </cell>
          <cell r="G153">
            <v>100</v>
          </cell>
          <cell r="H153" t="str">
            <v>現金</v>
          </cell>
          <cell r="J153">
            <v>1000</v>
          </cell>
          <cell r="K153">
            <v>-1160435</v>
          </cell>
        </row>
        <row r="154">
          <cell r="A154">
            <v>148</v>
          </cell>
          <cell r="B154">
            <v>35818</v>
          </cell>
          <cell r="C154" t="str">
            <v>電気コード</v>
          </cell>
          <cell r="D154" t="str">
            <v>ロッキー</v>
          </cell>
          <cell r="E154">
            <v>525</v>
          </cell>
          <cell r="F154" t="str">
            <v>消耗品費</v>
          </cell>
          <cell r="G154">
            <v>100</v>
          </cell>
          <cell r="H154" t="str">
            <v>現金</v>
          </cell>
          <cell r="J154">
            <v>294</v>
          </cell>
          <cell r="K154">
            <v>-1160729</v>
          </cell>
        </row>
        <row r="155">
          <cell r="A155">
            <v>149</v>
          </cell>
          <cell r="B155">
            <v>35818</v>
          </cell>
          <cell r="C155" t="str">
            <v>封筒</v>
          </cell>
          <cell r="D155" t="str">
            <v>ハマダ</v>
          </cell>
          <cell r="E155">
            <v>524</v>
          </cell>
          <cell r="F155" t="str">
            <v>事務消耗品費</v>
          </cell>
          <cell r="G155">
            <v>100</v>
          </cell>
          <cell r="H155" t="str">
            <v>現金</v>
          </cell>
          <cell r="J155">
            <v>200</v>
          </cell>
          <cell r="K155">
            <v>-1160929</v>
          </cell>
        </row>
        <row r="156">
          <cell r="A156">
            <v>150</v>
          </cell>
          <cell r="B156">
            <v>35818</v>
          </cell>
          <cell r="C156" t="str">
            <v>ガス</v>
          </cell>
          <cell r="D156" t="str">
            <v>東京ガス</v>
          </cell>
          <cell r="E156">
            <v>530</v>
          </cell>
          <cell r="F156" t="str">
            <v>水道光熱費</v>
          </cell>
          <cell r="G156">
            <v>114</v>
          </cell>
          <cell r="H156" t="str">
            <v>普通預金</v>
          </cell>
          <cell r="J156">
            <v>5244</v>
          </cell>
          <cell r="K156">
            <v>-1166173</v>
          </cell>
        </row>
        <row r="157">
          <cell r="A157">
            <v>151</v>
          </cell>
          <cell r="B157">
            <v>35819</v>
          </cell>
          <cell r="C157" t="str">
            <v>統計資料打ち上げ</v>
          </cell>
          <cell r="D157" t="str">
            <v>QUEEN'S CHEF</v>
          </cell>
          <cell r="E157">
            <v>503</v>
          </cell>
          <cell r="F157" t="str">
            <v>福利厚生費</v>
          </cell>
          <cell r="G157">
            <v>100</v>
          </cell>
          <cell r="H157" t="str">
            <v>現金</v>
          </cell>
          <cell r="J157">
            <v>2404</v>
          </cell>
          <cell r="K157">
            <v>-1168577</v>
          </cell>
        </row>
        <row r="158">
          <cell r="A158">
            <v>152</v>
          </cell>
          <cell r="B158">
            <v>35819</v>
          </cell>
          <cell r="C158" t="str">
            <v>コンピュータ関係</v>
          </cell>
          <cell r="D158" t="str">
            <v>ファミリーマート</v>
          </cell>
          <cell r="E158">
            <v>516</v>
          </cell>
          <cell r="F158" t="str">
            <v>図書研究費</v>
          </cell>
          <cell r="G158">
            <v>100</v>
          </cell>
          <cell r="H158" t="str">
            <v>現金</v>
          </cell>
          <cell r="J158">
            <v>1182</v>
          </cell>
          <cell r="K158">
            <v>-1169759</v>
          </cell>
        </row>
        <row r="159">
          <cell r="A159">
            <v>153</v>
          </cell>
          <cell r="B159">
            <v>35819</v>
          </cell>
          <cell r="C159" t="str">
            <v>歯ブラシ</v>
          </cell>
          <cell r="D159" t="str">
            <v>龍王堂薬局</v>
          </cell>
          <cell r="E159">
            <v>525</v>
          </cell>
          <cell r="F159" t="str">
            <v>消耗品費</v>
          </cell>
          <cell r="G159">
            <v>100</v>
          </cell>
          <cell r="H159" t="str">
            <v>現金</v>
          </cell>
          <cell r="J159">
            <v>420</v>
          </cell>
          <cell r="K159">
            <v>-1170179</v>
          </cell>
        </row>
        <row r="160">
          <cell r="A160">
            <v>154</v>
          </cell>
          <cell r="B160">
            <v>35819</v>
          </cell>
          <cell r="C160" t="str">
            <v>夜食代</v>
          </cell>
          <cell r="D160" t="str">
            <v>セイフー</v>
          </cell>
          <cell r="E160">
            <v>503</v>
          </cell>
          <cell r="F160" t="str">
            <v>福利厚生費</v>
          </cell>
          <cell r="G160">
            <v>100</v>
          </cell>
          <cell r="H160" t="str">
            <v>現金</v>
          </cell>
          <cell r="J160">
            <v>2405</v>
          </cell>
          <cell r="K160">
            <v>-1172584</v>
          </cell>
        </row>
        <row r="161">
          <cell r="A161">
            <v>155</v>
          </cell>
          <cell r="B161">
            <v>35819</v>
          </cell>
          <cell r="C161" t="str">
            <v>シャーペンの芯</v>
          </cell>
          <cell r="D161" t="str">
            <v>紀伊国屋</v>
          </cell>
          <cell r="E161">
            <v>524</v>
          </cell>
          <cell r="F161" t="str">
            <v>事務消耗品費</v>
          </cell>
          <cell r="G161">
            <v>100</v>
          </cell>
          <cell r="H161" t="str">
            <v>現金</v>
          </cell>
          <cell r="J161">
            <v>294</v>
          </cell>
          <cell r="K161">
            <v>-1172878</v>
          </cell>
        </row>
        <row r="162">
          <cell r="A162">
            <v>156</v>
          </cell>
          <cell r="B162">
            <v>35819</v>
          </cell>
          <cell r="C162" t="str">
            <v>皿</v>
          </cell>
          <cell r="D162" t="str">
            <v>セイフー</v>
          </cell>
          <cell r="E162">
            <v>525</v>
          </cell>
          <cell r="F162" t="str">
            <v>消耗品費</v>
          </cell>
          <cell r="G162">
            <v>100</v>
          </cell>
          <cell r="H162" t="str">
            <v>現金</v>
          </cell>
          <cell r="J162">
            <v>420</v>
          </cell>
          <cell r="K162">
            <v>-1173298</v>
          </cell>
        </row>
        <row r="163">
          <cell r="A163">
            <v>157</v>
          </cell>
          <cell r="B163">
            <v>35820</v>
          </cell>
          <cell r="C163" t="str">
            <v>ASAHI パソコン</v>
          </cell>
          <cell r="D163" t="str">
            <v>あおい書店</v>
          </cell>
          <cell r="E163">
            <v>516</v>
          </cell>
          <cell r="F163" t="str">
            <v>図書研究費</v>
          </cell>
          <cell r="G163">
            <v>100</v>
          </cell>
          <cell r="H163" t="str">
            <v>現金</v>
          </cell>
          <cell r="J163">
            <v>390</v>
          </cell>
          <cell r="K163">
            <v>-1173688</v>
          </cell>
        </row>
        <row r="164">
          <cell r="A164">
            <v>158</v>
          </cell>
          <cell r="B164">
            <v>35820</v>
          </cell>
          <cell r="C164" t="str">
            <v>亀コン永田取締役</v>
          </cell>
          <cell r="D164" t="str">
            <v>コーヒータイム</v>
          </cell>
          <cell r="E164">
            <v>535</v>
          </cell>
          <cell r="F164" t="str">
            <v>会議費</v>
          </cell>
          <cell r="G164">
            <v>100</v>
          </cell>
          <cell r="H164" t="str">
            <v>現金</v>
          </cell>
          <cell r="J164">
            <v>1680</v>
          </cell>
          <cell r="K164">
            <v>-1175368</v>
          </cell>
        </row>
        <row r="165">
          <cell r="A165">
            <v>159</v>
          </cell>
          <cell r="B165">
            <v>35821</v>
          </cell>
          <cell r="C165" t="str">
            <v>タクシー</v>
          </cell>
          <cell r="D165" t="str">
            <v>ＣＩＴＹ　ＴＡＸＩ　ＧＲＯＵＰ</v>
          </cell>
          <cell r="E165">
            <v>522</v>
          </cell>
          <cell r="F165" t="str">
            <v>旅費交通費</v>
          </cell>
          <cell r="G165">
            <v>100</v>
          </cell>
          <cell r="H165" t="str">
            <v>現金</v>
          </cell>
          <cell r="J165">
            <v>1010</v>
          </cell>
          <cell r="K165">
            <v>-1176378</v>
          </cell>
        </row>
        <row r="166">
          <cell r="A166">
            <v>160</v>
          </cell>
          <cell r="B166">
            <v>35821</v>
          </cell>
          <cell r="C166" t="str">
            <v>新幹線チケット（浜松）</v>
          </cell>
          <cell r="D166" t="str">
            <v>チケットキング</v>
          </cell>
          <cell r="E166">
            <v>522</v>
          </cell>
          <cell r="F166" t="str">
            <v>旅費交通費</v>
          </cell>
          <cell r="G166">
            <v>100</v>
          </cell>
          <cell r="H166" t="str">
            <v>現金</v>
          </cell>
          <cell r="J166">
            <v>14100</v>
          </cell>
          <cell r="K166">
            <v>-1190478</v>
          </cell>
        </row>
        <row r="167">
          <cell r="A167">
            <v>161</v>
          </cell>
          <cell r="B167">
            <v>35821</v>
          </cell>
          <cell r="C167" t="str">
            <v>経営・経理関係</v>
          </cell>
          <cell r="D167" t="str">
            <v>谷島屋コスタ店</v>
          </cell>
          <cell r="E167">
            <v>516</v>
          </cell>
          <cell r="F167" t="str">
            <v>図書研究費</v>
          </cell>
          <cell r="G167">
            <v>100</v>
          </cell>
          <cell r="H167" t="str">
            <v>現金</v>
          </cell>
          <cell r="J167">
            <v>4259</v>
          </cell>
          <cell r="K167">
            <v>-1194737</v>
          </cell>
        </row>
        <row r="168">
          <cell r="A168">
            <v>162</v>
          </cell>
          <cell r="B168">
            <v>35821</v>
          </cell>
          <cell r="C168" t="str">
            <v>薬用クリーム</v>
          </cell>
          <cell r="D168" t="str">
            <v>キヨスク</v>
          </cell>
          <cell r="E168">
            <v>525</v>
          </cell>
          <cell r="F168" t="str">
            <v>消耗品費</v>
          </cell>
          <cell r="G168">
            <v>100</v>
          </cell>
          <cell r="H168" t="str">
            <v>現金</v>
          </cell>
          <cell r="J168">
            <v>504</v>
          </cell>
          <cell r="K168">
            <v>-1195241</v>
          </cell>
        </row>
        <row r="169">
          <cell r="A169">
            <v>163</v>
          </cell>
          <cell r="B169">
            <v>35821</v>
          </cell>
          <cell r="C169" t="str">
            <v>夜食代</v>
          </cell>
          <cell r="D169" t="str">
            <v>セイフー</v>
          </cell>
          <cell r="E169">
            <v>503</v>
          </cell>
          <cell r="F169" t="str">
            <v>福利厚生費</v>
          </cell>
          <cell r="G169">
            <v>100</v>
          </cell>
          <cell r="H169" t="str">
            <v>現金</v>
          </cell>
          <cell r="J169">
            <v>294</v>
          </cell>
          <cell r="K169">
            <v>-1195535</v>
          </cell>
        </row>
        <row r="170">
          <cell r="B170">
            <v>35822</v>
          </cell>
          <cell r="C170" t="str">
            <v>電話</v>
          </cell>
          <cell r="D170" t="str">
            <v>ＤＤＩポケット</v>
          </cell>
          <cell r="E170">
            <v>523</v>
          </cell>
          <cell r="F170" t="str">
            <v>通信費</v>
          </cell>
          <cell r="G170">
            <v>114</v>
          </cell>
          <cell r="H170" t="str">
            <v>普通預金</v>
          </cell>
          <cell r="J170">
            <v>4641</v>
          </cell>
          <cell r="K170">
            <v>-1200176</v>
          </cell>
        </row>
        <row r="171">
          <cell r="A171">
            <v>164</v>
          </cell>
          <cell r="B171">
            <v>35822</v>
          </cell>
          <cell r="C171" t="str">
            <v>タクシー</v>
          </cell>
          <cell r="D171" t="str">
            <v>東京ﾀｸｼｰ近代化ｾﾝﾀｰ</v>
          </cell>
          <cell r="E171">
            <v>522</v>
          </cell>
          <cell r="F171" t="str">
            <v>旅費交通費</v>
          </cell>
          <cell r="G171">
            <v>100</v>
          </cell>
          <cell r="H171" t="str">
            <v>現金</v>
          </cell>
          <cell r="J171">
            <v>740</v>
          </cell>
          <cell r="K171">
            <v>-1200916</v>
          </cell>
        </row>
        <row r="172">
          <cell r="A172">
            <v>165</v>
          </cell>
          <cell r="B172">
            <v>35822</v>
          </cell>
          <cell r="C172" t="str">
            <v>タクシー</v>
          </cell>
          <cell r="D172" t="str">
            <v>安藤ﾀｸｼｰ</v>
          </cell>
          <cell r="E172">
            <v>522</v>
          </cell>
          <cell r="F172" t="str">
            <v>旅費交通費</v>
          </cell>
          <cell r="G172">
            <v>100</v>
          </cell>
          <cell r="H172" t="str">
            <v>現金</v>
          </cell>
          <cell r="J172">
            <v>810</v>
          </cell>
          <cell r="K172">
            <v>-1201726</v>
          </cell>
        </row>
        <row r="173">
          <cell r="A173">
            <v>166</v>
          </cell>
          <cell r="B173">
            <v>35823</v>
          </cell>
          <cell r="C173" t="str">
            <v>亀コン竹下課長</v>
          </cell>
          <cell r="D173" t="str">
            <v>モスバーガー</v>
          </cell>
          <cell r="E173">
            <v>535</v>
          </cell>
          <cell r="F173" t="str">
            <v>会議費</v>
          </cell>
          <cell r="G173">
            <v>100</v>
          </cell>
          <cell r="H173" t="str">
            <v>現金</v>
          </cell>
          <cell r="J173">
            <v>955</v>
          </cell>
          <cell r="K173">
            <v>-1202681</v>
          </cell>
        </row>
        <row r="174">
          <cell r="A174">
            <v>167</v>
          </cell>
          <cell r="B174">
            <v>35823</v>
          </cell>
          <cell r="C174" t="str">
            <v>タクシー</v>
          </cell>
          <cell r="D174" t="str">
            <v>東京ﾀｸｼｰ近代化ｾﾝﾀｰ</v>
          </cell>
          <cell r="E174">
            <v>522</v>
          </cell>
          <cell r="F174" t="str">
            <v>旅費交通費</v>
          </cell>
          <cell r="G174">
            <v>100</v>
          </cell>
          <cell r="H174" t="str">
            <v>現金</v>
          </cell>
          <cell r="J174">
            <v>740</v>
          </cell>
          <cell r="K174">
            <v>-1203421</v>
          </cell>
        </row>
        <row r="175">
          <cell r="A175">
            <v>168</v>
          </cell>
          <cell r="B175">
            <v>35823</v>
          </cell>
          <cell r="C175" t="str">
            <v>夜食代</v>
          </cell>
          <cell r="D175" t="str">
            <v>ファミリーマート</v>
          </cell>
          <cell r="E175">
            <v>503</v>
          </cell>
          <cell r="F175" t="str">
            <v>福利厚生費</v>
          </cell>
          <cell r="G175">
            <v>100</v>
          </cell>
          <cell r="H175" t="str">
            <v>現金</v>
          </cell>
          <cell r="J175">
            <v>386</v>
          </cell>
          <cell r="K175">
            <v>-1203807</v>
          </cell>
        </row>
        <row r="176">
          <cell r="A176">
            <v>169</v>
          </cell>
          <cell r="B176">
            <v>35823</v>
          </cell>
          <cell r="C176" t="str">
            <v>夜食代</v>
          </cell>
          <cell r="D176" t="str">
            <v>セイフー</v>
          </cell>
          <cell r="E176">
            <v>503</v>
          </cell>
          <cell r="F176" t="str">
            <v>福利厚生費</v>
          </cell>
          <cell r="G176">
            <v>100</v>
          </cell>
          <cell r="H176" t="str">
            <v>現金</v>
          </cell>
          <cell r="J176">
            <v>273</v>
          </cell>
          <cell r="K176">
            <v>-1204080</v>
          </cell>
        </row>
        <row r="177">
          <cell r="A177">
            <v>170</v>
          </cell>
          <cell r="B177">
            <v>35823</v>
          </cell>
          <cell r="C177" t="str">
            <v>お茶</v>
          </cell>
          <cell r="D177" t="str">
            <v>丸正</v>
          </cell>
          <cell r="E177">
            <v>503</v>
          </cell>
          <cell r="F177" t="str">
            <v>福利厚生費</v>
          </cell>
          <cell r="G177">
            <v>100</v>
          </cell>
          <cell r="H177" t="str">
            <v>現金</v>
          </cell>
          <cell r="J177">
            <v>1093</v>
          </cell>
          <cell r="K177">
            <v>-1205173</v>
          </cell>
        </row>
        <row r="178">
          <cell r="A178">
            <v>171</v>
          </cell>
          <cell r="B178">
            <v>35824</v>
          </cell>
          <cell r="C178" t="str">
            <v>コピー</v>
          </cell>
          <cell r="D178" t="str">
            <v>Ｋｉｎｋｏ’ｓ</v>
          </cell>
          <cell r="E178">
            <v>524</v>
          </cell>
          <cell r="F178" t="str">
            <v>事務消耗品費</v>
          </cell>
          <cell r="G178">
            <v>100</v>
          </cell>
          <cell r="H178" t="str">
            <v>現金</v>
          </cell>
          <cell r="J178">
            <v>21</v>
          </cell>
          <cell r="K178">
            <v>-1205194</v>
          </cell>
        </row>
        <row r="179">
          <cell r="A179">
            <v>172</v>
          </cell>
          <cell r="B179">
            <v>35824</v>
          </cell>
          <cell r="C179" t="str">
            <v>スクラップブック</v>
          </cell>
          <cell r="D179" t="str">
            <v>和楽</v>
          </cell>
          <cell r="E179">
            <v>524</v>
          </cell>
          <cell r="F179" t="str">
            <v>事務消耗品費</v>
          </cell>
          <cell r="G179">
            <v>100</v>
          </cell>
          <cell r="H179" t="str">
            <v>現金</v>
          </cell>
          <cell r="J179">
            <v>360</v>
          </cell>
          <cell r="K179">
            <v>-1205554</v>
          </cell>
        </row>
        <row r="180">
          <cell r="A180">
            <v>173</v>
          </cell>
          <cell r="B180">
            <v>35824</v>
          </cell>
          <cell r="C180" t="str">
            <v>茶菓子代</v>
          </cell>
          <cell r="D180" t="str">
            <v>LAWSON</v>
          </cell>
          <cell r="E180">
            <v>503</v>
          </cell>
          <cell r="F180" t="str">
            <v>福利厚生費</v>
          </cell>
          <cell r="G180">
            <v>100</v>
          </cell>
          <cell r="H180" t="str">
            <v>現金</v>
          </cell>
          <cell r="J180">
            <v>260</v>
          </cell>
          <cell r="K180">
            <v>-1205814</v>
          </cell>
        </row>
        <row r="181">
          <cell r="A181">
            <v>174</v>
          </cell>
          <cell r="B181">
            <v>35825</v>
          </cell>
          <cell r="C181" t="str">
            <v>タクシー</v>
          </cell>
          <cell r="D181" t="str">
            <v>東京ﾀｸｼｰ近代化ｾﾝﾀｰ</v>
          </cell>
          <cell r="E181">
            <v>522</v>
          </cell>
          <cell r="F181" t="str">
            <v>旅費交通費</v>
          </cell>
          <cell r="G181">
            <v>100</v>
          </cell>
          <cell r="H181" t="str">
            <v>現金</v>
          </cell>
          <cell r="J181">
            <v>740</v>
          </cell>
          <cell r="K181">
            <v>-1206554</v>
          </cell>
        </row>
        <row r="182">
          <cell r="A182">
            <v>175</v>
          </cell>
          <cell r="B182">
            <v>35825</v>
          </cell>
          <cell r="C182" t="str">
            <v>Tカード</v>
          </cell>
          <cell r="D182" t="str">
            <v>東京都交通局</v>
          </cell>
          <cell r="E182">
            <v>522</v>
          </cell>
          <cell r="F182" t="str">
            <v>旅費交通費</v>
          </cell>
          <cell r="G182">
            <v>100</v>
          </cell>
          <cell r="H182" t="str">
            <v>現金</v>
          </cell>
          <cell r="J182">
            <v>5000</v>
          </cell>
          <cell r="K182">
            <v>-1211554</v>
          </cell>
        </row>
        <row r="183">
          <cell r="A183">
            <v>176</v>
          </cell>
          <cell r="B183">
            <v>35825</v>
          </cell>
          <cell r="C183" t="str">
            <v>ジュース</v>
          </cell>
          <cell r="D183" t="str">
            <v>LAWSON</v>
          </cell>
          <cell r="E183">
            <v>503</v>
          </cell>
          <cell r="F183" t="str">
            <v>福利厚生費</v>
          </cell>
          <cell r="G183">
            <v>100</v>
          </cell>
          <cell r="H183" t="str">
            <v>現金</v>
          </cell>
          <cell r="J183">
            <v>488</v>
          </cell>
          <cell r="K183">
            <v>-1212042</v>
          </cell>
        </row>
        <row r="184">
          <cell r="A184">
            <v>177</v>
          </cell>
          <cell r="B184">
            <v>35825</v>
          </cell>
          <cell r="C184" t="str">
            <v>夜食代</v>
          </cell>
          <cell r="D184" t="str">
            <v>ファミリーマート</v>
          </cell>
          <cell r="E184">
            <v>503</v>
          </cell>
          <cell r="F184" t="str">
            <v>福利厚生費</v>
          </cell>
          <cell r="G184">
            <v>100</v>
          </cell>
          <cell r="H184" t="str">
            <v>現金</v>
          </cell>
          <cell r="J184">
            <v>493</v>
          </cell>
          <cell r="K184">
            <v>-1212535</v>
          </cell>
        </row>
        <row r="185">
          <cell r="A185">
            <v>178</v>
          </cell>
          <cell r="B185">
            <v>35825</v>
          </cell>
          <cell r="C185" t="str">
            <v>お弁当代</v>
          </cell>
          <cell r="D185" t="str">
            <v>オリジン弁当</v>
          </cell>
          <cell r="E185">
            <v>503</v>
          </cell>
          <cell r="F185" t="str">
            <v>福利厚生費</v>
          </cell>
          <cell r="G185">
            <v>100</v>
          </cell>
          <cell r="H185" t="str">
            <v>現金</v>
          </cell>
          <cell r="J185">
            <v>1245</v>
          </cell>
          <cell r="K185">
            <v>-1213780</v>
          </cell>
        </row>
        <row r="186">
          <cell r="A186">
            <v>179</v>
          </cell>
          <cell r="B186">
            <v>35826</v>
          </cell>
          <cell r="C186" t="str">
            <v>エステック　佐藤氏</v>
          </cell>
          <cell r="D186" t="str">
            <v>ＪＡＬ　ＣＩＴＹ</v>
          </cell>
          <cell r="E186">
            <v>535</v>
          </cell>
          <cell r="F186" t="str">
            <v>会議費</v>
          </cell>
          <cell r="G186">
            <v>100</v>
          </cell>
          <cell r="H186" t="str">
            <v>現金</v>
          </cell>
          <cell r="J186">
            <v>3696</v>
          </cell>
          <cell r="K186">
            <v>-1217476</v>
          </cell>
        </row>
        <row r="187">
          <cell r="A187">
            <v>180</v>
          </cell>
          <cell r="B187">
            <v>35826</v>
          </cell>
          <cell r="C187" t="str">
            <v>科目印</v>
          </cell>
          <cell r="D187" t="str">
            <v>中川会計事務所</v>
          </cell>
          <cell r="E187">
            <v>524</v>
          </cell>
          <cell r="F187" t="str">
            <v>事務消耗品費</v>
          </cell>
          <cell r="G187">
            <v>100</v>
          </cell>
          <cell r="H187" t="str">
            <v>現金</v>
          </cell>
          <cell r="J187">
            <v>7000</v>
          </cell>
          <cell r="K187">
            <v>-1224476</v>
          </cell>
        </row>
        <row r="188">
          <cell r="A188">
            <v>181</v>
          </cell>
          <cell r="B188">
            <v>35826</v>
          </cell>
          <cell r="C188" t="str">
            <v>会計顧問報酬</v>
          </cell>
          <cell r="D188" t="str">
            <v>中川会計事務所</v>
          </cell>
          <cell r="E188">
            <v>537</v>
          </cell>
          <cell r="F188" t="str">
            <v>顧問報酬</v>
          </cell>
          <cell r="G188">
            <v>100</v>
          </cell>
          <cell r="H188" t="str">
            <v>現金</v>
          </cell>
          <cell r="J188">
            <v>14250</v>
          </cell>
          <cell r="K188">
            <v>-1238726</v>
          </cell>
        </row>
        <row r="189">
          <cell r="A189">
            <v>182</v>
          </cell>
          <cell r="B189">
            <v>35826</v>
          </cell>
          <cell r="C189" t="str">
            <v>源泉所得税</v>
          </cell>
          <cell r="D189" t="str">
            <v>中川会計事務所</v>
          </cell>
          <cell r="E189">
            <v>537</v>
          </cell>
          <cell r="F189" t="str">
            <v>顧問報酬</v>
          </cell>
          <cell r="G189">
            <v>208</v>
          </cell>
          <cell r="H189" t="str">
            <v>預り金</v>
          </cell>
          <cell r="J189">
            <v>1500</v>
          </cell>
          <cell r="K189">
            <v>-1240226</v>
          </cell>
        </row>
        <row r="190">
          <cell r="A190">
            <v>183</v>
          </cell>
          <cell r="B190">
            <v>35827</v>
          </cell>
          <cell r="C190" t="str">
            <v>ビ・アーム山際社長</v>
          </cell>
          <cell r="D190" t="str">
            <v>フレッシュネスバーガー</v>
          </cell>
          <cell r="E190">
            <v>535</v>
          </cell>
          <cell r="F190" t="str">
            <v>会議費</v>
          </cell>
          <cell r="G190">
            <v>100</v>
          </cell>
          <cell r="H190" t="str">
            <v>現金</v>
          </cell>
          <cell r="J190">
            <v>399</v>
          </cell>
          <cell r="K190">
            <v>-1240625</v>
          </cell>
        </row>
        <row r="191">
          <cell r="A191">
            <v>184</v>
          </cell>
          <cell r="B191">
            <v>35827</v>
          </cell>
          <cell r="C191" t="str">
            <v>お茶代</v>
          </cell>
          <cell r="D191" t="str">
            <v>am pm</v>
          </cell>
          <cell r="E191">
            <v>503</v>
          </cell>
          <cell r="F191" t="str">
            <v>福利厚生費</v>
          </cell>
          <cell r="G191">
            <v>100</v>
          </cell>
          <cell r="H191" t="str">
            <v>現金</v>
          </cell>
          <cell r="J191">
            <v>467</v>
          </cell>
          <cell r="K191">
            <v>-1241092</v>
          </cell>
        </row>
        <row r="192">
          <cell r="A192">
            <v>185</v>
          </cell>
          <cell r="B192">
            <v>35828</v>
          </cell>
          <cell r="C192" t="str">
            <v>夜食代</v>
          </cell>
          <cell r="D192" t="str">
            <v>セイフー</v>
          </cell>
          <cell r="E192">
            <v>503</v>
          </cell>
          <cell r="F192" t="str">
            <v>福利厚生費</v>
          </cell>
          <cell r="G192">
            <v>100</v>
          </cell>
          <cell r="H192" t="str">
            <v>現金</v>
          </cell>
          <cell r="J192">
            <v>1753</v>
          </cell>
          <cell r="K192">
            <v>-1242845</v>
          </cell>
        </row>
        <row r="193">
          <cell r="A193">
            <v>186</v>
          </cell>
          <cell r="B193">
            <v>35828</v>
          </cell>
          <cell r="C193" t="str">
            <v>出金伝票</v>
          </cell>
          <cell r="D193" t="str">
            <v>丸正</v>
          </cell>
          <cell r="E193">
            <v>524</v>
          </cell>
          <cell r="F193" t="str">
            <v>事務消耗品費</v>
          </cell>
          <cell r="G193">
            <v>100</v>
          </cell>
          <cell r="H193" t="str">
            <v>現金</v>
          </cell>
          <cell r="J193">
            <v>115</v>
          </cell>
          <cell r="K193">
            <v>-1242960</v>
          </cell>
        </row>
        <row r="194">
          <cell r="A194">
            <v>187</v>
          </cell>
          <cell r="B194">
            <v>35828</v>
          </cell>
          <cell r="C194" t="str">
            <v>亀コン竹下課長</v>
          </cell>
          <cell r="D194" t="str">
            <v>モスバーガー</v>
          </cell>
          <cell r="E194">
            <v>535</v>
          </cell>
          <cell r="F194" t="str">
            <v>会議費</v>
          </cell>
          <cell r="G194">
            <v>100</v>
          </cell>
          <cell r="H194" t="str">
            <v>現金</v>
          </cell>
          <cell r="J194">
            <v>567</v>
          </cell>
          <cell r="K194">
            <v>-1243527</v>
          </cell>
        </row>
        <row r="195">
          <cell r="A195">
            <v>188</v>
          </cell>
          <cell r="B195">
            <v>35828</v>
          </cell>
          <cell r="C195" t="str">
            <v>亀コン竹下課長</v>
          </cell>
          <cell r="D195" t="str">
            <v>ケンタッキー</v>
          </cell>
          <cell r="E195">
            <v>535</v>
          </cell>
          <cell r="F195" t="str">
            <v>会議費</v>
          </cell>
          <cell r="G195">
            <v>100</v>
          </cell>
          <cell r="H195" t="str">
            <v>現金</v>
          </cell>
          <cell r="J195">
            <v>1270</v>
          </cell>
          <cell r="K195">
            <v>-1244797</v>
          </cell>
        </row>
        <row r="196">
          <cell r="A196">
            <v>189</v>
          </cell>
          <cell r="B196">
            <v>35829</v>
          </cell>
          <cell r="C196" t="str">
            <v>茶菓子代</v>
          </cell>
          <cell r="D196" t="str">
            <v>サンクス</v>
          </cell>
          <cell r="E196">
            <v>503</v>
          </cell>
          <cell r="F196" t="str">
            <v>福利厚生費</v>
          </cell>
          <cell r="G196">
            <v>100</v>
          </cell>
          <cell r="H196" t="str">
            <v>現金</v>
          </cell>
          <cell r="J196">
            <v>819</v>
          </cell>
          <cell r="K196">
            <v>-1245616</v>
          </cell>
        </row>
        <row r="197">
          <cell r="A197">
            <v>190</v>
          </cell>
          <cell r="B197">
            <v>35829</v>
          </cell>
          <cell r="C197" t="str">
            <v>亀コン永田取締役</v>
          </cell>
          <cell r="D197" t="str">
            <v>デニーズ</v>
          </cell>
          <cell r="E197">
            <v>535</v>
          </cell>
          <cell r="F197" t="str">
            <v>会議費</v>
          </cell>
          <cell r="G197">
            <v>100</v>
          </cell>
          <cell r="H197" t="str">
            <v>現金</v>
          </cell>
          <cell r="J197">
            <v>3885</v>
          </cell>
          <cell r="K197">
            <v>-1249501</v>
          </cell>
        </row>
        <row r="198">
          <cell r="A198">
            <v>191</v>
          </cell>
          <cell r="B198">
            <v>35829</v>
          </cell>
          <cell r="C198" t="str">
            <v>HGP緒方氏・亀コン永田氏</v>
          </cell>
          <cell r="D198" t="str">
            <v>ダリア</v>
          </cell>
          <cell r="E198">
            <v>535</v>
          </cell>
          <cell r="F198" t="str">
            <v>会議費</v>
          </cell>
          <cell r="G198">
            <v>100</v>
          </cell>
          <cell r="H198" t="str">
            <v>現金</v>
          </cell>
          <cell r="J198">
            <v>1600</v>
          </cell>
          <cell r="K198">
            <v>-1251101</v>
          </cell>
        </row>
        <row r="199">
          <cell r="A199">
            <v>192</v>
          </cell>
          <cell r="B199">
            <v>35830</v>
          </cell>
          <cell r="C199" t="str">
            <v>亀コン竹下課長</v>
          </cell>
          <cell r="D199" t="str">
            <v>ミスタードーナッツ</v>
          </cell>
          <cell r="E199">
            <v>535</v>
          </cell>
          <cell r="F199" t="str">
            <v>会議費</v>
          </cell>
          <cell r="G199">
            <v>100</v>
          </cell>
          <cell r="H199" t="str">
            <v>現金</v>
          </cell>
          <cell r="J199">
            <v>777</v>
          </cell>
          <cell r="K199">
            <v>-1251878</v>
          </cell>
        </row>
        <row r="200">
          <cell r="A200">
            <v>193</v>
          </cell>
          <cell r="B200">
            <v>35830</v>
          </cell>
          <cell r="C200" t="str">
            <v>電話代</v>
          </cell>
          <cell r="D200" t="str">
            <v>ＮＴＴ新宿</v>
          </cell>
          <cell r="E200">
            <v>523</v>
          </cell>
          <cell r="F200" t="str">
            <v>通信費</v>
          </cell>
          <cell r="G200">
            <v>100</v>
          </cell>
          <cell r="H200" t="str">
            <v>現金</v>
          </cell>
          <cell r="J200">
            <v>2950</v>
          </cell>
          <cell r="K200">
            <v>-1254828</v>
          </cell>
        </row>
        <row r="201">
          <cell r="A201">
            <v>194</v>
          </cell>
          <cell r="B201">
            <v>35830</v>
          </cell>
          <cell r="C201" t="str">
            <v>金庫代</v>
          </cell>
          <cell r="D201" t="str">
            <v>仲芳屋</v>
          </cell>
          <cell r="E201">
            <v>525</v>
          </cell>
          <cell r="F201" t="str">
            <v>消耗品費</v>
          </cell>
          <cell r="G201">
            <v>100</v>
          </cell>
          <cell r="H201" t="str">
            <v>現金</v>
          </cell>
          <cell r="J201">
            <v>13650</v>
          </cell>
          <cell r="K201">
            <v>-1268478</v>
          </cell>
        </row>
        <row r="202">
          <cell r="A202">
            <v>195</v>
          </cell>
          <cell r="B202">
            <v>35831</v>
          </cell>
          <cell r="C202" t="str">
            <v>たばこ</v>
          </cell>
          <cell r="D202" t="str">
            <v>ローソン</v>
          </cell>
          <cell r="E202">
            <v>503</v>
          </cell>
          <cell r="F202" t="str">
            <v>福利厚生費</v>
          </cell>
          <cell r="G202">
            <v>100</v>
          </cell>
          <cell r="H202" t="str">
            <v>現金</v>
          </cell>
          <cell r="J202">
            <v>260</v>
          </cell>
          <cell r="K202">
            <v>-1268738</v>
          </cell>
        </row>
        <row r="203">
          <cell r="A203">
            <v>196</v>
          </cell>
          <cell r="B203">
            <v>35831</v>
          </cell>
          <cell r="C203" t="str">
            <v>コンピュータ関係</v>
          </cell>
          <cell r="D203" t="str">
            <v>ローソン</v>
          </cell>
          <cell r="E203">
            <v>516</v>
          </cell>
          <cell r="F203" t="str">
            <v>図書研究費</v>
          </cell>
          <cell r="G203">
            <v>100</v>
          </cell>
          <cell r="H203" t="str">
            <v>現金</v>
          </cell>
          <cell r="J203">
            <v>250</v>
          </cell>
          <cell r="K203">
            <v>-1268988</v>
          </cell>
        </row>
        <row r="204">
          <cell r="A204">
            <v>197</v>
          </cell>
          <cell r="B204">
            <v>35831</v>
          </cell>
          <cell r="C204" t="str">
            <v>カビ取り剤</v>
          </cell>
          <cell r="D204" t="str">
            <v>丸正</v>
          </cell>
          <cell r="E204">
            <v>525</v>
          </cell>
          <cell r="F204" t="str">
            <v>消耗品費</v>
          </cell>
          <cell r="G204">
            <v>100</v>
          </cell>
          <cell r="H204" t="str">
            <v>現金</v>
          </cell>
          <cell r="J204">
            <v>1995</v>
          </cell>
          <cell r="K204">
            <v>-1270983</v>
          </cell>
        </row>
        <row r="205">
          <cell r="A205">
            <v>198</v>
          </cell>
          <cell r="B205">
            <v>35831</v>
          </cell>
          <cell r="C205" t="str">
            <v>夜食代</v>
          </cell>
          <cell r="D205" t="str">
            <v>丸正</v>
          </cell>
          <cell r="E205">
            <v>503</v>
          </cell>
          <cell r="F205" t="str">
            <v>福利厚生費</v>
          </cell>
          <cell r="G205">
            <v>100</v>
          </cell>
          <cell r="H205" t="str">
            <v>現金</v>
          </cell>
          <cell r="J205">
            <v>4920</v>
          </cell>
          <cell r="K205">
            <v>-1275903</v>
          </cell>
        </row>
        <row r="206">
          <cell r="A206">
            <v>199</v>
          </cell>
          <cell r="B206">
            <v>35832</v>
          </cell>
          <cell r="C206" t="str">
            <v>電池代</v>
          </cell>
          <cell r="D206" t="str">
            <v>丸正</v>
          </cell>
          <cell r="E206">
            <v>525</v>
          </cell>
          <cell r="F206" t="str">
            <v>消耗品費</v>
          </cell>
          <cell r="G206">
            <v>100</v>
          </cell>
          <cell r="H206" t="str">
            <v>現金</v>
          </cell>
          <cell r="J206">
            <v>1412</v>
          </cell>
          <cell r="K206">
            <v>-1277315</v>
          </cell>
        </row>
        <row r="207">
          <cell r="A207">
            <v>200</v>
          </cell>
          <cell r="B207">
            <v>35832</v>
          </cell>
          <cell r="C207" t="str">
            <v>亀コン永田取締役</v>
          </cell>
          <cell r="D207" t="str">
            <v>フレッシュネスバーガー</v>
          </cell>
          <cell r="E207">
            <v>535</v>
          </cell>
          <cell r="F207" t="str">
            <v>会議費</v>
          </cell>
          <cell r="G207">
            <v>100</v>
          </cell>
          <cell r="H207" t="str">
            <v>現金</v>
          </cell>
          <cell r="J207">
            <v>1197</v>
          </cell>
          <cell r="K207">
            <v>-1278512</v>
          </cell>
        </row>
        <row r="208">
          <cell r="A208">
            <v>201</v>
          </cell>
          <cell r="B208">
            <v>35832</v>
          </cell>
          <cell r="C208" t="str">
            <v>収納ＢＯＸ</v>
          </cell>
          <cell r="D208" t="str">
            <v>Romantic Garden</v>
          </cell>
          <cell r="E208">
            <v>524</v>
          </cell>
          <cell r="F208" t="str">
            <v>事務消耗品費</v>
          </cell>
          <cell r="G208">
            <v>100</v>
          </cell>
          <cell r="H208" t="str">
            <v>現金</v>
          </cell>
          <cell r="J208">
            <v>2058</v>
          </cell>
          <cell r="K208">
            <v>-1280570</v>
          </cell>
        </row>
        <row r="209">
          <cell r="A209">
            <v>202</v>
          </cell>
          <cell r="B209">
            <v>35832</v>
          </cell>
          <cell r="C209" t="str">
            <v>伝票</v>
          </cell>
          <cell r="D209" t="str">
            <v>紀伊国屋</v>
          </cell>
          <cell r="E209">
            <v>524</v>
          </cell>
          <cell r="F209" t="str">
            <v>事務消耗品費</v>
          </cell>
          <cell r="G209">
            <v>100</v>
          </cell>
          <cell r="H209" t="str">
            <v>現金</v>
          </cell>
          <cell r="J209">
            <v>115</v>
          </cell>
          <cell r="K209">
            <v>-1280685</v>
          </cell>
        </row>
        <row r="210">
          <cell r="A210">
            <v>203</v>
          </cell>
          <cell r="B210">
            <v>35833</v>
          </cell>
          <cell r="C210" t="str">
            <v>お茶代</v>
          </cell>
          <cell r="D210" t="str">
            <v>am pm</v>
          </cell>
          <cell r="E210">
            <v>503</v>
          </cell>
          <cell r="F210" t="str">
            <v>福利厚生費</v>
          </cell>
          <cell r="G210">
            <v>100</v>
          </cell>
          <cell r="H210" t="str">
            <v>現金</v>
          </cell>
          <cell r="J210">
            <v>572</v>
          </cell>
          <cell r="K210">
            <v>-1281257</v>
          </cell>
        </row>
        <row r="211">
          <cell r="A211">
            <v>204</v>
          </cell>
          <cell r="B211">
            <v>35833</v>
          </cell>
          <cell r="C211" t="str">
            <v>ビデオデッキ</v>
          </cell>
          <cell r="D211" t="str">
            <v>さくらや</v>
          </cell>
          <cell r="E211">
            <v>525</v>
          </cell>
          <cell r="F211" t="str">
            <v>消耗品費</v>
          </cell>
          <cell r="G211">
            <v>100</v>
          </cell>
          <cell r="H211" t="str">
            <v>現金</v>
          </cell>
          <cell r="J211">
            <v>22890</v>
          </cell>
          <cell r="K211">
            <v>-1304147</v>
          </cell>
        </row>
        <row r="212">
          <cell r="A212">
            <v>205</v>
          </cell>
          <cell r="B212">
            <v>35835</v>
          </cell>
          <cell r="C212" t="str">
            <v>コピー</v>
          </cell>
          <cell r="D212" t="str">
            <v>Ｋｉｎｋｏ’ｓ</v>
          </cell>
          <cell r="E212">
            <v>524</v>
          </cell>
          <cell r="F212" t="str">
            <v>事務消耗品費</v>
          </cell>
          <cell r="G212">
            <v>100</v>
          </cell>
          <cell r="H212" t="str">
            <v>現金</v>
          </cell>
          <cell r="J212">
            <v>766</v>
          </cell>
          <cell r="K212">
            <v>-1304913</v>
          </cell>
        </row>
        <row r="213">
          <cell r="A213">
            <v>206</v>
          </cell>
          <cell r="B213">
            <v>35835</v>
          </cell>
          <cell r="C213" t="str">
            <v>茶菓子代</v>
          </cell>
          <cell r="D213" t="str">
            <v>丸正</v>
          </cell>
          <cell r="E213">
            <v>503</v>
          </cell>
          <cell r="F213" t="str">
            <v>福利厚生費</v>
          </cell>
          <cell r="G213">
            <v>100</v>
          </cell>
          <cell r="H213" t="str">
            <v>現金</v>
          </cell>
          <cell r="J213">
            <v>341</v>
          </cell>
          <cell r="K213">
            <v>-1305254</v>
          </cell>
        </row>
        <row r="214">
          <cell r="A214">
            <v>207</v>
          </cell>
          <cell r="B214">
            <v>35835</v>
          </cell>
          <cell r="C214" t="str">
            <v>ラインマーカー・付箋</v>
          </cell>
          <cell r="D214" t="str">
            <v>セブンイレブン</v>
          </cell>
          <cell r="E214">
            <v>524</v>
          </cell>
          <cell r="F214" t="str">
            <v>事務消耗品費</v>
          </cell>
          <cell r="G214">
            <v>100</v>
          </cell>
          <cell r="H214" t="str">
            <v>現金</v>
          </cell>
          <cell r="J214">
            <v>409</v>
          </cell>
          <cell r="K214">
            <v>-1305663</v>
          </cell>
        </row>
        <row r="215">
          <cell r="A215">
            <v>208</v>
          </cell>
          <cell r="B215">
            <v>35835</v>
          </cell>
          <cell r="C215" t="str">
            <v>亀コン永田取締役</v>
          </cell>
          <cell r="D215" t="str">
            <v>デニーズ</v>
          </cell>
          <cell r="E215">
            <v>535</v>
          </cell>
          <cell r="F215" t="str">
            <v>会議費</v>
          </cell>
          <cell r="G215">
            <v>100</v>
          </cell>
          <cell r="H215" t="str">
            <v>現金</v>
          </cell>
          <cell r="J215">
            <v>4978</v>
          </cell>
          <cell r="K215">
            <v>-1310641</v>
          </cell>
        </row>
        <row r="216">
          <cell r="A216">
            <v>209</v>
          </cell>
          <cell r="B216">
            <v>35836</v>
          </cell>
          <cell r="C216" t="str">
            <v>お茶代</v>
          </cell>
          <cell r="D216" t="str">
            <v>ローソン</v>
          </cell>
          <cell r="E216">
            <v>503</v>
          </cell>
          <cell r="F216" t="str">
            <v>福利厚生費</v>
          </cell>
          <cell r="G216">
            <v>100</v>
          </cell>
          <cell r="H216" t="str">
            <v>現金</v>
          </cell>
          <cell r="J216">
            <v>604</v>
          </cell>
          <cell r="K216">
            <v>-1311245</v>
          </cell>
        </row>
        <row r="217">
          <cell r="A217">
            <v>210</v>
          </cell>
          <cell r="B217">
            <v>35836</v>
          </cell>
          <cell r="C217" t="str">
            <v>ティッシュ・歯磨き粉</v>
          </cell>
          <cell r="D217" t="str">
            <v>ニュードラッグ</v>
          </cell>
          <cell r="E217">
            <v>525</v>
          </cell>
          <cell r="F217" t="str">
            <v>消耗品費</v>
          </cell>
          <cell r="G217">
            <v>100</v>
          </cell>
          <cell r="H217" t="str">
            <v>現金</v>
          </cell>
          <cell r="J217">
            <v>2181</v>
          </cell>
          <cell r="K217">
            <v>-1313426</v>
          </cell>
        </row>
        <row r="218">
          <cell r="A218">
            <v>211</v>
          </cell>
          <cell r="B218">
            <v>35836</v>
          </cell>
          <cell r="C218" t="str">
            <v>ＦＡＸ</v>
          </cell>
          <cell r="D218" t="str">
            <v>ファミリーマート</v>
          </cell>
          <cell r="E218">
            <v>523</v>
          </cell>
          <cell r="F218" t="str">
            <v>通信費</v>
          </cell>
          <cell r="G218">
            <v>100</v>
          </cell>
          <cell r="H218" t="str">
            <v>現金</v>
          </cell>
          <cell r="J218">
            <v>400</v>
          </cell>
          <cell r="K218">
            <v>-1313826</v>
          </cell>
        </row>
        <row r="219">
          <cell r="A219">
            <v>212</v>
          </cell>
          <cell r="B219">
            <v>35836</v>
          </cell>
          <cell r="C219" t="str">
            <v>ＦＡＸ</v>
          </cell>
          <cell r="D219" t="str">
            <v>ファミリーマート</v>
          </cell>
          <cell r="E219">
            <v>523</v>
          </cell>
          <cell r="F219" t="str">
            <v>通信費</v>
          </cell>
          <cell r="G219">
            <v>100</v>
          </cell>
          <cell r="H219" t="str">
            <v>現金</v>
          </cell>
          <cell r="J219">
            <v>350</v>
          </cell>
          <cell r="K219">
            <v>-1314176</v>
          </cell>
        </row>
        <row r="220">
          <cell r="A220">
            <v>213</v>
          </cell>
          <cell r="B220">
            <v>35836</v>
          </cell>
          <cell r="C220" t="str">
            <v>亀コン竹下課長</v>
          </cell>
          <cell r="D220" t="str">
            <v>デニーズ</v>
          </cell>
          <cell r="E220">
            <v>535</v>
          </cell>
          <cell r="F220" t="str">
            <v>会議費</v>
          </cell>
          <cell r="G220">
            <v>100</v>
          </cell>
          <cell r="H220" t="str">
            <v>現金</v>
          </cell>
          <cell r="J220">
            <v>3255</v>
          </cell>
          <cell r="K220">
            <v>-1317431</v>
          </cell>
        </row>
        <row r="221">
          <cell r="A221">
            <v>214</v>
          </cell>
          <cell r="B221">
            <v>35837</v>
          </cell>
          <cell r="C221" t="str">
            <v>日立　斎藤氏</v>
          </cell>
          <cell r="D221" t="str">
            <v>TONY ROMA'S</v>
          </cell>
          <cell r="E221">
            <v>535</v>
          </cell>
          <cell r="F221" t="str">
            <v>会議費</v>
          </cell>
          <cell r="G221">
            <v>100</v>
          </cell>
          <cell r="H221" t="str">
            <v>現金</v>
          </cell>
          <cell r="J221">
            <v>9805</v>
          </cell>
          <cell r="K221">
            <v>-1327236</v>
          </cell>
        </row>
        <row r="222">
          <cell r="A222">
            <v>215</v>
          </cell>
          <cell r="B222">
            <v>35838</v>
          </cell>
          <cell r="C222" t="str">
            <v>コンピュータ関係</v>
          </cell>
          <cell r="D222" t="str">
            <v>あおい書店</v>
          </cell>
          <cell r="E222">
            <v>516</v>
          </cell>
          <cell r="F222" t="str">
            <v>図書研究費</v>
          </cell>
          <cell r="G222">
            <v>100</v>
          </cell>
          <cell r="H222" t="str">
            <v>現金</v>
          </cell>
          <cell r="J222">
            <v>1650</v>
          </cell>
          <cell r="K222">
            <v>-1328886</v>
          </cell>
        </row>
        <row r="223">
          <cell r="A223">
            <v>216</v>
          </cell>
          <cell r="B223">
            <v>35838</v>
          </cell>
          <cell r="C223" t="str">
            <v>ビジネス書</v>
          </cell>
          <cell r="D223" t="str">
            <v>山王書店</v>
          </cell>
          <cell r="E223">
            <v>516</v>
          </cell>
          <cell r="F223" t="str">
            <v>図書研究費</v>
          </cell>
          <cell r="G223">
            <v>100</v>
          </cell>
          <cell r="H223" t="str">
            <v>現金</v>
          </cell>
          <cell r="J223">
            <v>2640</v>
          </cell>
          <cell r="K223">
            <v>-1331526</v>
          </cell>
        </row>
        <row r="224">
          <cell r="A224">
            <v>217</v>
          </cell>
          <cell r="B224">
            <v>35838</v>
          </cell>
          <cell r="C224" t="str">
            <v>茶菓子代</v>
          </cell>
          <cell r="D224" t="str">
            <v>ローソン</v>
          </cell>
          <cell r="E224">
            <v>503</v>
          </cell>
          <cell r="F224" t="str">
            <v>福利厚生費</v>
          </cell>
          <cell r="G224">
            <v>100</v>
          </cell>
          <cell r="H224" t="str">
            <v>現金</v>
          </cell>
          <cell r="J224">
            <v>1363</v>
          </cell>
          <cell r="K224">
            <v>-1332889</v>
          </cell>
        </row>
        <row r="225">
          <cell r="A225">
            <v>218</v>
          </cell>
          <cell r="B225">
            <v>35839</v>
          </cell>
          <cell r="C225" t="str">
            <v>切手代</v>
          </cell>
          <cell r="D225" t="str">
            <v>ローソン</v>
          </cell>
          <cell r="E225">
            <v>523</v>
          </cell>
          <cell r="F225" t="str">
            <v>通信費</v>
          </cell>
          <cell r="G225">
            <v>100</v>
          </cell>
          <cell r="H225" t="str">
            <v>現金</v>
          </cell>
          <cell r="J225">
            <v>160</v>
          </cell>
          <cell r="K225">
            <v>-1333049</v>
          </cell>
        </row>
        <row r="226">
          <cell r="A226">
            <v>219</v>
          </cell>
          <cell r="B226">
            <v>35839</v>
          </cell>
          <cell r="C226" t="str">
            <v>お茶代</v>
          </cell>
          <cell r="D226" t="str">
            <v>ファミリーマート</v>
          </cell>
          <cell r="E226">
            <v>503</v>
          </cell>
          <cell r="F226" t="str">
            <v>福利厚生費</v>
          </cell>
          <cell r="G226">
            <v>100</v>
          </cell>
          <cell r="H226" t="str">
            <v>現金</v>
          </cell>
          <cell r="J226">
            <v>677</v>
          </cell>
          <cell r="K226">
            <v>-1333726</v>
          </cell>
        </row>
        <row r="227">
          <cell r="A227">
            <v>220</v>
          </cell>
          <cell r="B227">
            <v>35839</v>
          </cell>
          <cell r="C227" t="str">
            <v>ビジネス書</v>
          </cell>
          <cell r="D227" t="str">
            <v>ブックバーン</v>
          </cell>
          <cell r="E227">
            <v>516</v>
          </cell>
          <cell r="F227" t="str">
            <v>図書研究費</v>
          </cell>
          <cell r="G227">
            <v>100</v>
          </cell>
          <cell r="H227" t="str">
            <v>現金</v>
          </cell>
          <cell r="J227">
            <v>1470</v>
          </cell>
          <cell r="K227">
            <v>-1335196</v>
          </cell>
        </row>
        <row r="228">
          <cell r="A228">
            <v>221</v>
          </cell>
          <cell r="B228">
            <v>35840</v>
          </cell>
          <cell r="C228" t="str">
            <v>経営・経理関係</v>
          </cell>
          <cell r="D228" t="str">
            <v>三省堂</v>
          </cell>
          <cell r="E228">
            <v>516</v>
          </cell>
          <cell r="F228" t="str">
            <v>図書研究費</v>
          </cell>
          <cell r="G228">
            <v>100</v>
          </cell>
          <cell r="H228" t="str">
            <v>現金</v>
          </cell>
          <cell r="J228">
            <v>4620</v>
          </cell>
          <cell r="K228">
            <v>-1339816</v>
          </cell>
        </row>
        <row r="229">
          <cell r="A229">
            <v>222</v>
          </cell>
          <cell r="B229">
            <v>35842</v>
          </cell>
          <cell r="C229" t="str">
            <v>亀コン霞主任</v>
          </cell>
          <cell r="D229" t="str">
            <v>デザートスクウェア</v>
          </cell>
          <cell r="E229">
            <v>535</v>
          </cell>
          <cell r="F229" t="str">
            <v>会議費</v>
          </cell>
          <cell r="G229">
            <v>100</v>
          </cell>
          <cell r="H229" t="str">
            <v>現金</v>
          </cell>
          <cell r="J229">
            <v>2310</v>
          </cell>
          <cell r="K229">
            <v>-1342126</v>
          </cell>
        </row>
        <row r="230">
          <cell r="A230">
            <v>223</v>
          </cell>
          <cell r="B230">
            <v>35842</v>
          </cell>
          <cell r="C230" t="str">
            <v>新聞</v>
          </cell>
          <cell r="D230" t="str">
            <v>ローソン</v>
          </cell>
          <cell r="E230">
            <v>516</v>
          </cell>
          <cell r="F230" t="str">
            <v>図書研究費</v>
          </cell>
          <cell r="G230">
            <v>100</v>
          </cell>
          <cell r="H230" t="str">
            <v>現金</v>
          </cell>
          <cell r="J230">
            <v>130</v>
          </cell>
          <cell r="K230">
            <v>-1342256</v>
          </cell>
        </row>
        <row r="231">
          <cell r="A231">
            <v>224</v>
          </cell>
          <cell r="B231">
            <v>35842</v>
          </cell>
          <cell r="C231" t="str">
            <v>お茶代</v>
          </cell>
          <cell r="D231" t="str">
            <v>ローソン</v>
          </cell>
          <cell r="E231">
            <v>503</v>
          </cell>
          <cell r="F231" t="str">
            <v>福利厚生費</v>
          </cell>
          <cell r="G231">
            <v>100</v>
          </cell>
          <cell r="H231" t="str">
            <v>現金</v>
          </cell>
          <cell r="J231">
            <v>1725</v>
          </cell>
          <cell r="K231">
            <v>-1343981</v>
          </cell>
        </row>
        <row r="232">
          <cell r="A232">
            <v>225</v>
          </cell>
          <cell r="B232">
            <v>35842</v>
          </cell>
          <cell r="C232" t="str">
            <v>電気代</v>
          </cell>
          <cell r="D232" t="str">
            <v>東京電力</v>
          </cell>
          <cell r="E232">
            <v>530</v>
          </cell>
          <cell r="F232" t="str">
            <v>水道光熱費</v>
          </cell>
          <cell r="G232">
            <v>114</v>
          </cell>
          <cell r="H232" t="str">
            <v>普通預金</v>
          </cell>
          <cell r="J232">
            <v>8450</v>
          </cell>
          <cell r="K232">
            <v>-1352431</v>
          </cell>
        </row>
        <row r="233">
          <cell r="A233">
            <v>226</v>
          </cell>
          <cell r="B233">
            <v>35843</v>
          </cell>
          <cell r="C233" t="str">
            <v>HGP緒方氏</v>
          </cell>
          <cell r="D233" t="str">
            <v>ミスタードーナッツ</v>
          </cell>
          <cell r="E233">
            <v>535</v>
          </cell>
          <cell r="F233" t="str">
            <v>会議費</v>
          </cell>
          <cell r="G233">
            <v>100</v>
          </cell>
          <cell r="H233" t="str">
            <v>現金</v>
          </cell>
          <cell r="J233">
            <v>304</v>
          </cell>
          <cell r="K233">
            <v>-1352735</v>
          </cell>
        </row>
        <row r="234">
          <cell r="A234">
            <v>227</v>
          </cell>
          <cell r="B234">
            <v>35843</v>
          </cell>
          <cell r="C234" t="str">
            <v>お茶代</v>
          </cell>
          <cell r="D234" t="str">
            <v>ローソン</v>
          </cell>
          <cell r="E234">
            <v>503</v>
          </cell>
          <cell r="F234" t="str">
            <v>福利厚生費</v>
          </cell>
          <cell r="G234">
            <v>100</v>
          </cell>
          <cell r="H234" t="str">
            <v>現金</v>
          </cell>
          <cell r="J234">
            <v>522</v>
          </cell>
          <cell r="K234">
            <v>-1353257</v>
          </cell>
        </row>
        <row r="235">
          <cell r="A235">
            <v>228</v>
          </cell>
          <cell r="B235">
            <v>35843</v>
          </cell>
          <cell r="C235" t="str">
            <v>ラベル・クリップ</v>
          </cell>
          <cell r="D235" t="str">
            <v>萬力屋</v>
          </cell>
          <cell r="E235">
            <v>524</v>
          </cell>
          <cell r="F235" t="str">
            <v>事務消耗品費</v>
          </cell>
          <cell r="G235">
            <v>100</v>
          </cell>
          <cell r="H235" t="str">
            <v>現金</v>
          </cell>
          <cell r="J235">
            <v>262</v>
          </cell>
          <cell r="K235">
            <v>-1353519</v>
          </cell>
        </row>
        <row r="236">
          <cell r="A236">
            <v>229</v>
          </cell>
          <cell r="B236">
            <v>35844</v>
          </cell>
          <cell r="C236" t="str">
            <v>亀コン永田取締役</v>
          </cell>
          <cell r="D236" t="str">
            <v>大戸屋</v>
          </cell>
          <cell r="E236">
            <v>535</v>
          </cell>
          <cell r="F236" t="str">
            <v>会議費</v>
          </cell>
          <cell r="G236">
            <v>100</v>
          </cell>
          <cell r="H236" t="str">
            <v>現金</v>
          </cell>
          <cell r="J236">
            <v>1627</v>
          </cell>
          <cell r="K236">
            <v>-1355146</v>
          </cell>
        </row>
        <row r="237">
          <cell r="A237">
            <v>230</v>
          </cell>
          <cell r="B237">
            <v>35844</v>
          </cell>
          <cell r="C237" t="str">
            <v>茶菓子代</v>
          </cell>
          <cell r="D237" t="str">
            <v>ＡＳＡＮＯＹＡ</v>
          </cell>
          <cell r="E237">
            <v>503</v>
          </cell>
          <cell r="F237" t="str">
            <v>福利厚生費</v>
          </cell>
          <cell r="G237">
            <v>100</v>
          </cell>
          <cell r="H237" t="str">
            <v>現金</v>
          </cell>
          <cell r="J237">
            <v>650</v>
          </cell>
          <cell r="K237">
            <v>-1355796</v>
          </cell>
        </row>
        <row r="238">
          <cell r="A238">
            <v>231</v>
          </cell>
          <cell r="B238">
            <v>35844</v>
          </cell>
          <cell r="C238" t="str">
            <v>洗剤代</v>
          </cell>
          <cell r="D238" t="str">
            <v>ニュードラッグ</v>
          </cell>
          <cell r="E238">
            <v>525</v>
          </cell>
          <cell r="F238" t="str">
            <v>消耗品費</v>
          </cell>
          <cell r="G238">
            <v>100</v>
          </cell>
          <cell r="H238" t="str">
            <v>現金</v>
          </cell>
          <cell r="J238">
            <v>1201</v>
          </cell>
          <cell r="K238">
            <v>-1356997</v>
          </cell>
        </row>
        <row r="239">
          <cell r="A239">
            <v>232</v>
          </cell>
          <cell r="B239">
            <v>35844</v>
          </cell>
          <cell r="C239" t="str">
            <v>ビジネス書</v>
          </cell>
          <cell r="D239" t="str">
            <v>あおい書店</v>
          </cell>
          <cell r="E239">
            <v>516</v>
          </cell>
          <cell r="F239" t="str">
            <v>図書研究費</v>
          </cell>
          <cell r="G239">
            <v>100</v>
          </cell>
          <cell r="H239" t="str">
            <v>現金</v>
          </cell>
          <cell r="J239">
            <v>1650</v>
          </cell>
          <cell r="K239">
            <v>-1358647</v>
          </cell>
        </row>
        <row r="240">
          <cell r="A240">
            <v>233</v>
          </cell>
          <cell r="B240">
            <v>35844</v>
          </cell>
          <cell r="C240" t="str">
            <v>コンピュータ関係</v>
          </cell>
          <cell r="D240" t="str">
            <v>あおい書店</v>
          </cell>
          <cell r="E240">
            <v>516</v>
          </cell>
          <cell r="F240" t="str">
            <v>図書研究費</v>
          </cell>
          <cell r="G240">
            <v>100</v>
          </cell>
          <cell r="H240" t="str">
            <v>現金</v>
          </cell>
          <cell r="J240">
            <v>4193</v>
          </cell>
          <cell r="K240">
            <v>-1362840</v>
          </cell>
        </row>
        <row r="241">
          <cell r="A241">
            <v>234</v>
          </cell>
          <cell r="B241">
            <v>35844</v>
          </cell>
          <cell r="C241" t="str">
            <v>切手代</v>
          </cell>
          <cell r="D241" t="str">
            <v>郵便局</v>
          </cell>
          <cell r="E241">
            <v>523</v>
          </cell>
          <cell r="F241" t="str">
            <v>通信費</v>
          </cell>
          <cell r="G241">
            <v>100</v>
          </cell>
          <cell r="H241" t="str">
            <v>現金</v>
          </cell>
          <cell r="J241">
            <v>1000</v>
          </cell>
          <cell r="K241">
            <v>-1363840</v>
          </cell>
        </row>
        <row r="242">
          <cell r="A242">
            <v>235</v>
          </cell>
          <cell r="B242">
            <v>35845</v>
          </cell>
          <cell r="C242" t="str">
            <v>亀コン霞主任</v>
          </cell>
          <cell r="D242" t="str">
            <v>ミスタードーナッツ</v>
          </cell>
          <cell r="E242">
            <v>535</v>
          </cell>
          <cell r="F242" t="str">
            <v>会議費</v>
          </cell>
          <cell r="G242">
            <v>100</v>
          </cell>
          <cell r="H242" t="str">
            <v>現金</v>
          </cell>
          <cell r="J242">
            <v>817</v>
          </cell>
          <cell r="K242">
            <v>-1364657</v>
          </cell>
        </row>
        <row r="243">
          <cell r="A243">
            <v>236</v>
          </cell>
          <cell r="B243">
            <v>35845</v>
          </cell>
          <cell r="C243" t="str">
            <v>コピー</v>
          </cell>
          <cell r="D243" t="str">
            <v>Ｋｉｎｋｏ’ｓ</v>
          </cell>
          <cell r="E243">
            <v>524</v>
          </cell>
          <cell r="F243" t="str">
            <v>事務消耗品費</v>
          </cell>
          <cell r="G243">
            <v>100</v>
          </cell>
          <cell r="H243" t="str">
            <v>現金</v>
          </cell>
          <cell r="J243">
            <v>94</v>
          </cell>
          <cell r="K243">
            <v>-1364751</v>
          </cell>
        </row>
        <row r="244">
          <cell r="A244">
            <v>237</v>
          </cell>
          <cell r="B244">
            <v>35845</v>
          </cell>
          <cell r="C244" t="str">
            <v>速達代</v>
          </cell>
          <cell r="D244" t="str">
            <v>郵便局</v>
          </cell>
          <cell r="E244">
            <v>523</v>
          </cell>
          <cell r="F244" t="str">
            <v>通信費</v>
          </cell>
          <cell r="G244">
            <v>100</v>
          </cell>
          <cell r="H244" t="str">
            <v>現金</v>
          </cell>
          <cell r="J244">
            <v>350</v>
          </cell>
          <cell r="K244">
            <v>-1365101</v>
          </cell>
        </row>
        <row r="245">
          <cell r="A245">
            <v>238</v>
          </cell>
          <cell r="B245">
            <v>35845</v>
          </cell>
          <cell r="C245" t="str">
            <v>ＦＡＸ</v>
          </cell>
          <cell r="D245" t="str">
            <v>ａｍ　ｐｍ</v>
          </cell>
          <cell r="E245">
            <v>523</v>
          </cell>
          <cell r="F245" t="str">
            <v>通信費</v>
          </cell>
          <cell r="G245">
            <v>100</v>
          </cell>
          <cell r="H245" t="str">
            <v>現金</v>
          </cell>
          <cell r="J245">
            <v>600</v>
          </cell>
          <cell r="K245">
            <v>-1365701</v>
          </cell>
        </row>
        <row r="246">
          <cell r="A246">
            <v>239</v>
          </cell>
          <cell r="B246">
            <v>35845</v>
          </cell>
          <cell r="C246" t="str">
            <v>ＦＡＸ</v>
          </cell>
          <cell r="D246" t="str">
            <v>ファミリーマート</v>
          </cell>
          <cell r="E246">
            <v>523</v>
          </cell>
          <cell r="F246" t="str">
            <v>通信費</v>
          </cell>
          <cell r="G246">
            <v>100</v>
          </cell>
          <cell r="H246" t="str">
            <v>現金</v>
          </cell>
          <cell r="J246">
            <v>750</v>
          </cell>
          <cell r="K246">
            <v>-1366451</v>
          </cell>
        </row>
        <row r="247">
          <cell r="A247">
            <v>240</v>
          </cell>
          <cell r="B247">
            <v>35845</v>
          </cell>
          <cell r="C247" t="str">
            <v>お茶代</v>
          </cell>
          <cell r="D247" t="str">
            <v>ａｍ　ｐｍ</v>
          </cell>
          <cell r="E247">
            <v>503</v>
          </cell>
          <cell r="F247" t="str">
            <v>福利厚生費</v>
          </cell>
          <cell r="G247">
            <v>100</v>
          </cell>
          <cell r="H247" t="str">
            <v>現金</v>
          </cell>
          <cell r="J247">
            <v>688</v>
          </cell>
          <cell r="K247">
            <v>-1367139</v>
          </cell>
        </row>
        <row r="248">
          <cell r="A248">
            <v>241</v>
          </cell>
          <cell r="B248">
            <v>35846</v>
          </cell>
          <cell r="C248" t="str">
            <v>コンピュータ雑誌</v>
          </cell>
          <cell r="D248" t="str">
            <v>ファミリーマート</v>
          </cell>
          <cell r="E248">
            <v>516</v>
          </cell>
          <cell r="F248" t="str">
            <v>図書研究費</v>
          </cell>
          <cell r="G248">
            <v>100</v>
          </cell>
          <cell r="H248" t="str">
            <v>現金</v>
          </cell>
          <cell r="J248">
            <v>250</v>
          </cell>
          <cell r="K248">
            <v>-1367389</v>
          </cell>
        </row>
        <row r="249">
          <cell r="A249">
            <v>242</v>
          </cell>
          <cell r="B249">
            <v>35846</v>
          </cell>
          <cell r="C249" t="str">
            <v>茶菓子代</v>
          </cell>
          <cell r="D249" t="str">
            <v>ファミリーマート</v>
          </cell>
          <cell r="E249">
            <v>503</v>
          </cell>
          <cell r="F249" t="str">
            <v>福利厚生費</v>
          </cell>
          <cell r="G249">
            <v>100</v>
          </cell>
          <cell r="H249" t="str">
            <v>現金</v>
          </cell>
          <cell r="J249">
            <v>168</v>
          </cell>
          <cell r="K249">
            <v>-1367557</v>
          </cell>
        </row>
        <row r="250">
          <cell r="A250">
            <v>243</v>
          </cell>
          <cell r="B250">
            <v>35846</v>
          </cell>
          <cell r="C250" t="str">
            <v>戸籍抄本</v>
          </cell>
          <cell r="D250" t="str">
            <v>柏市役所</v>
          </cell>
          <cell r="E250">
            <v>538</v>
          </cell>
          <cell r="F250" t="str">
            <v>雑費</v>
          </cell>
          <cell r="G250">
            <v>100</v>
          </cell>
          <cell r="H250" t="str">
            <v>現金</v>
          </cell>
          <cell r="J250">
            <v>900</v>
          </cell>
          <cell r="K250">
            <v>-1368457</v>
          </cell>
        </row>
        <row r="251">
          <cell r="A251">
            <v>244</v>
          </cell>
          <cell r="B251">
            <v>35846</v>
          </cell>
          <cell r="C251" t="str">
            <v>はんこ</v>
          </cell>
          <cell r="D251" t="str">
            <v>（株）コヤマ</v>
          </cell>
          <cell r="E251">
            <v>524</v>
          </cell>
          <cell r="F251" t="str">
            <v>事務消耗品費</v>
          </cell>
          <cell r="G251">
            <v>100</v>
          </cell>
          <cell r="H251" t="str">
            <v>現金</v>
          </cell>
          <cell r="J251">
            <v>735</v>
          </cell>
          <cell r="K251">
            <v>-1369192</v>
          </cell>
        </row>
        <row r="252">
          <cell r="A252">
            <v>245</v>
          </cell>
          <cell r="B252">
            <v>35846</v>
          </cell>
          <cell r="C252" t="str">
            <v>亀コン　竹下課長</v>
          </cell>
          <cell r="D252" t="str">
            <v>PRONTO</v>
          </cell>
          <cell r="E252">
            <v>535</v>
          </cell>
          <cell r="F252" t="str">
            <v>会議費</v>
          </cell>
          <cell r="G252">
            <v>100</v>
          </cell>
          <cell r="H252" t="str">
            <v>現金</v>
          </cell>
          <cell r="J252">
            <v>3654</v>
          </cell>
          <cell r="K252">
            <v>-1372846</v>
          </cell>
        </row>
        <row r="253">
          <cell r="A253">
            <v>246</v>
          </cell>
          <cell r="B253">
            <v>35848</v>
          </cell>
          <cell r="C253" t="str">
            <v>茶菓子代</v>
          </cell>
          <cell r="D253" t="str">
            <v>ａｍ　ｐｍ</v>
          </cell>
          <cell r="E253">
            <v>503</v>
          </cell>
          <cell r="F253" t="str">
            <v>福利厚生費</v>
          </cell>
          <cell r="G253">
            <v>100</v>
          </cell>
          <cell r="H253" t="str">
            <v>現金</v>
          </cell>
          <cell r="J253">
            <v>375</v>
          </cell>
          <cell r="K253">
            <v>-1373221</v>
          </cell>
        </row>
        <row r="254">
          <cell r="A254">
            <v>247</v>
          </cell>
          <cell r="B254">
            <v>35849</v>
          </cell>
          <cell r="C254" t="str">
            <v>経済書</v>
          </cell>
          <cell r="D254" t="str">
            <v>紀伊国屋</v>
          </cell>
          <cell r="E254">
            <v>516</v>
          </cell>
          <cell r="F254" t="str">
            <v>図書研究費</v>
          </cell>
          <cell r="G254">
            <v>100</v>
          </cell>
          <cell r="H254" t="str">
            <v>現金</v>
          </cell>
          <cell r="J254">
            <v>5393</v>
          </cell>
          <cell r="K254">
            <v>-1378614</v>
          </cell>
        </row>
        <row r="255">
          <cell r="A255">
            <v>248</v>
          </cell>
          <cell r="B255">
            <v>35849</v>
          </cell>
          <cell r="C255" t="str">
            <v>夜食代</v>
          </cell>
          <cell r="D255" t="str">
            <v>クィーンズシェフ</v>
          </cell>
          <cell r="E255">
            <v>503</v>
          </cell>
          <cell r="F255" t="str">
            <v>福利厚生費</v>
          </cell>
          <cell r="G255">
            <v>100</v>
          </cell>
          <cell r="H255" t="str">
            <v>現金</v>
          </cell>
          <cell r="J255">
            <v>604</v>
          </cell>
          <cell r="K255">
            <v>-1379218</v>
          </cell>
        </row>
        <row r="256">
          <cell r="A256">
            <v>249</v>
          </cell>
          <cell r="B256">
            <v>35849</v>
          </cell>
          <cell r="C256" t="str">
            <v>夜食代</v>
          </cell>
          <cell r="D256" t="str">
            <v>クィーンズシェフ</v>
          </cell>
          <cell r="E256">
            <v>503</v>
          </cell>
          <cell r="F256" t="str">
            <v>福利厚生費</v>
          </cell>
          <cell r="G256">
            <v>100</v>
          </cell>
          <cell r="H256" t="str">
            <v>現金</v>
          </cell>
          <cell r="J256">
            <v>483</v>
          </cell>
          <cell r="K256">
            <v>-1379701</v>
          </cell>
        </row>
        <row r="257">
          <cell r="A257">
            <v>250</v>
          </cell>
          <cell r="B257">
            <v>35849</v>
          </cell>
          <cell r="C257" t="str">
            <v>夜食代</v>
          </cell>
          <cell r="D257" t="str">
            <v>セイフー</v>
          </cell>
          <cell r="E257">
            <v>503</v>
          </cell>
          <cell r="F257" t="str">
            <v>福利厚生費</v>
          </cell>
          <cell r="G257">
            <v>100</v>
          </cell>
          <cell r="H257" t="str">
            <v>現金</v>
          </cell>
          <cell r="J257">
            <v>938</v>
          </cell>
          <cell r="K257">
            <v>-1380639</v>
          </cell>
        </row>
        <row r="258">
          <cell r="A258">
            <v>251</v>
          </cell>
          <cell r="B258">
            <v>35849</v>
          </cell>
          <cell r="C258" t="str">
            <v>夜食代</v>
          </cell>
          <cell r="D258" t="str">
            <v>丸正</v>
          </cell>
          <cell r="E258">
            <v>503</v>
          </cell>
          <cell r="F258" t="str">
            <v>福利厚生費</v>
          </cell>
          <cell r="G258">
            <v>100</v>
          </cell>
          <cell r="H258" t="str">
            <v>現金</v>
          </cell>
          <cell r="J258">
            <v>1657</v>
          </cell>
          <cell r="K258">
            <v>-1382296</v>
          </cell>
        </row>
        <row r="259">
          <cell r="A259">
            <v>252</v>
          </cell>
          <cell r="B259">
            <v>35851</v>
          </cell>
          <cell r="C259" t="str">
            <v>亀コン　永田取締役</v>
          </cell>
          <cell r="D259" t="str">
            <v>フレッシュネスバーガー</v>
          </cell>
          <cell r="E259">
            <v>535</v>
          </cell>
          <cell r="F259" t="str">
            <v>会議費</v>
          </cell>
          <cell r="G259">
            <v>100</v>
          </cell>
          <cell r="H259" t="str">
            <v>現金</v>
          </cell>
          <cell r="J259">
            <v>1071</v>
          </cell>
          <cell r="K259">
            <v>-1383367</v>
          </cell>
        </row>
        <row r="260">
          <cell r="A260">
            <v>253</v>
          </cell>
          <cell r="B260">
            <v>35851</v>
          </cell>
          <cell r="C260" t="str">
            <v>茶菓子代</v>
          </cell>
          <cell r="D260" t="str">
            <v>一口茶屋</v>
          </cell>
          <cell r="E260">
            <v>503</v>
          </cell>
          <cell r="F260" t="str">
            <v>福利厚生費</v>
          </cell>
          <cell r="G260">
            <v>100</v>
          </cell>
          <cell r="H260" t="str">
            <v>現金</v>
          </cell>
          <cell r="J260">
            <v>380</v>
          </cell>
          <cell r="K260">
            <v>-1383747</v>
          </cell>
        </row>
        <row r="261">
          <cell r="A261">
            <v>254</v>
          </cell>
          <cell r="B261">
            <v>35851</v>
          </cell>
          <cell r="C261" t="str">
            <v>ビジネス書</v>
          </cell>
          <cell r="D261" t="str">
            <v>丸善</v>
          </cell>
          <cell r="E261">
            <v>516</v>
          </cell>
          <cell r="F261" t="str">
            <v>図書研究費</v>
          </cell>
          <cell r="G261">
            <v>100</v>
          </cell>
          <cell r="H261" t="str">
            <v>現金</v>
          </cell>
          <cell r="J261">
            <v>1365</v>
          </cell>
          <cell r="K261">
            <v>-1385112</v>
          </cell>
        </row>
        <row r="262">
          <cell r="A262">
            <v>255</v>
          </cell>
          <cell r="B262">
            <v>35851</v>
          </cell>
          <cell r="C262" t="str">
            <v>夜食代</v>
          </cell>
          <cell r="D262" t="str">
            <v>セイフー</v>
          </cell>
          <cell r="E262">
            <v>503</v>
          </cell>
          <cell r="F262" t="str">
            <v>福利厚生費</v>
          </cell>
          <cell r="G262">
            <v>100</v>
          </cell>
          <cell r="H262" t="str">
            <v>現金</v>
          </cell>
          <cell r="J262">
            <v>730</v>
          </cell>
          <cell r="K262">
            <v>-1385842</v>
          </cell>
        </row>
        <row r="263">
          <cell r="A263">
            <v>256</v>
          </cell>
          <cell r="B263">
            <v>35851</v>
          </cell>
          <cell r="C263" t="str">
            <v>亀コン　永田取締役</v>
          </cell>
          <cell r="D263" t="str">
            <v>Big Pan</v>
          </cell>
          <cell r="E263">
            <v>535</v>
          </cell>
          <cell r="F263" t="str">
            <v>会議費</v>
          </cell>
          <cell r="G263">
            <v>100</v>
          </cell>
          <cell r="H263" t="str">
            <v>現金</v>
          </cell>
          <cell r="J263">
            <v>3475</v>
          </cell>
          <cell r="K263">
            <v>-1389317</v>
          </cell>
        </row>
        <row r="264">
          <cell r="A264">
            <v>257</v>
          </cell>
          <cell r="B264">
            <v>35852</v>
          </cell>
          <cell r="C264" t="str">
            <v>家賃</v>
          </cell>
          <cell r="D264" t="str">
            <v>大塚刷毛製造（株）</v>
          </cell>
          <cell r="E264">
            <v>528</v>
          </cell>
          <cell r="F264" t="str">
            <v>地代・家賃</v>
          </cell>
          <cell r="G264">
            <v>100</v>
          </cell>
          <cell r="H264" t="str">
            <v>現金</v>
          </cell>
          <cell r="J264">
            <v>89000</v>
          </cell>
          <cell r="K264">
            <v>-1478317</v>
          </cell>
        </row>
        <row r="265">
          <cell r="A265">
            <v>258</v>
          </cell>
          <cell r="B265">
            <v>35852</v>
          </cell>
          <cell r="C265" t="str">
            <v>セロテープ・ステープラ針</v>
          </cell>
          <cell r="E265">
            <v>524</v>
          </cell>
          <cell r="F265" t="str">
            <v>事務消耗品費</v>
          </cell>
          <cell r="G265">
            <v>100</v>
          </cell>
          <cell r="H265" t="str">
            <v>現金</v>
          </cell>
          <cell r="J265">
            <v>610</v>
          </cell>
          <cell r="K265">
            <v>-1478927</v>
          </cell>
        </row>
        <row r="266">
          <cell r="A266">
            <v>259</v>
          </cell>
          <cell r="B266">
            <v>35853</v>
          </cell>
          <cell r="C266" t="str">
            <v>はがき</v>
          </cell>
          <cell r="D266" t="str">
            <v>ａｍ　ｐｍ</v>
          </cell>
          <cell r="E266">
            <v>523</v>
          </cell>
          <cell r="F266" t="str">
            <v>通信費</v>
          </cell>
          <cell r="G266">
            <v>100</v>
          </cell>
          <cell r="H266" t="str">
            <v>現金</v>
          </cell>
          <cell r="J266">
            <v>350</v>
          </cell>
          <cell r="K266">
            <v>-1479277</v>
          </cell>
        </row>
        <row r="267">
          <cell r="A267">
            <v>260</v>
          </cell>
          <cell r="B267">
            <v>35853</v>
          </cell>
          <cell r="C267" t="str">
            <v>茶菓子代</v>
          </cell>
          <cell r="D267" t="str">
            <v>ファミリーマート</v>
          </cell>
          <cell r="E267">
            <v>503</v>
          </cell>
          <cell r="F267" t="str">
            <v>福利厚生費</v>
          </cell>
          <cell r="G267">
            <v>100</v>
          </cell>
          <cell r="H267" t="str">
            <v>現金</v>
          </cell>
          <cell r="J267">
            <v>412</v>
          </cell>
          <cell r="K267">
            <v>-1479689</v>
          </cell>
        </row>
        <row r="268">
          <cell r="A268">
            <v>261</v>
          </cell>
          <cell r="B268">
            <v>35853</v>
          </cell>
          <cell r="C268" t="str">
            <v>茶菓子代</v>
          </cell>
          <cell r="E268">
            <v>503</v>
          </cell>
          <cell r="F268" t="str">
            <v>福利厚生費</v>
          </cell>
          <cell r="G268">
            <v>100</v>
          </cell>
          <cell r="H268" t="str">
            <v>現金</v>
          </cell>
          <cell r="J268">
            <v>294</v>
          </cell>
          <cell r="K268">
            <v>-1479983</v>
          </cell>
        </row>
        <row r="269">
          <cell r="A269">
            <v>262</v>
          </cell>
          <cell r="B269">
            <v>35853</v>
          </cell>
          <cell r="C269" t="str">
            <v>PHS通話料</v>
          </cell>
          <cell r="D269" t="str">
            <v>ＤＤＩポケット</v>
          </cell>
          <cell r="E269">
            <v>523</v>
          </cell>
          <cell r="F269" t="str">
            <v>通信費</v>
          </cell>
          <cell r="G269">
            <v>114</v>
          </cell>
          <cell r="H269" t="str">
            <v>普通預金</v>
          </cell>
          <cell r="J269">
            <v>5544</v>
          </cell>
          <cell r="K269">
            <v>-1485527</v>
          </cell>
        </row>
        <row r="270">
          <cell r="A270">
            <v>263</v>
          </cell>
          <cell r="B270">
            <v>35854</v>
          </cell>
          <cell r="C270" t="str">
            <v>夜食代</v>
          </cell>
          <cell r="D270" t="str">
            <v>セイフー</v>
          </cell>
          <cell r="E270">
            <v>503</v>
          </cell>
          <cell r="F270" t="str">
            <v>福利厚生費</v>
          </cell>
          <cell r="G270">
            <v>100</v>
          </cell>
          <cell r="H270" t="str">
            <v>現金</v>
          </cell>
          <cell r="J270">
            <v>281</v>
          </cell>
          <cell r="K270">
            <v>-1485808</v>
          </cell>
        </row>
        <row r="271">
          <cell r="A271">
            <v>264</v>
          </cell>
          <cell r="B271">
            <v>35854</v>
          </cell>
          <cell r="C271" t="str">
            <v>給料</v>
          </cell>
          <cell r="D271" t="str">
            <v>細川万紀子</v>
          </cell>
          <cell r="E271">
            <v>501</v>
          </cell>
          <cell r="F271" t="str">
            <v>給料手当</v>
          </cell>
          <cell r="G271">
            <v>100</v>
          </cell>
          <cell r="H271" t="str">
            <v>現金</v>
          </cell>
          <cell r="J271">
            <v>463070</v>
          </cell>
          <cell r="K271">
            <v>-1948878</v>
          </cell>
        </row>
        <row r="272">
          <cell r="A272">
            <v>265</v>
          </cell>
          <cell r="B272">
            <v>35854</v>
          </cell>
          <cell r="C272" t="str">
            <v>源泉所得税</v>
          </cell>
          <cell r="D272" t="str">
            <v>細川万紀子</v>
          </cell>
          <cell r="E272">
            <v>501</v>
          </cell>
          <cell r="F272" t="str">
            <v>給料手当</v>
          </cell>
          <cell r="G272">
            <v>208</v>
          </cell>
          <cell r="H272" t="str">
            <v>預り金</v>
          </cell>
          <cell r="J272">
            <v>36930</v>
          </cell>
          <cell r="K272">
            <v>-1985808</v>
          </cell>
        </row>
        <row r="273">
          <cell r="A273">
            <v>266</v>
          </cell>
          <cell r="B273">
            <v>35855</v>
          </cell>
          <cell r="C273" t="str">
            <v>亀ｺﾝ永田氏・竹下氏・霞氏・山口氏</v>
          </cell>
          <cell r="E273">
            <v>535</v>
          </cell>
          <cell r="F273" t="str">
            <v>会議費</v>
          </cell>
          <cell r="G273">
            <v>100</v>
          </cell>
          <cell r="H273" t="str">
            <v>現金</v>
          </cell>
          <cell r="J273">
            <v>9900</v>
          </cell>
          <cell r="K273">
            <v>-1995708</v>
          </cell>
        </row>
        <row r="274">
          <cell r="A274">
            <v>267</v>
          </cell>
          <cell r="B274">
            <v>35855</v>
          </cell>
          <cell r="C274" t="str">
            <v>夜食代</v>
          </cell>
          <cell r="D274" t="str">
            <v>ローソン</v>
          </cell>
          <cell r="E274">
            <v>503</v>
          </cell>
          <cell r="F274" t="str">
            <v>福利厚生費</v>
          </cell>
          <cell r="G274">
            <v>100</v>
          </cell>
          <cell r="H274" t="str">
            <v>現金</v>
          </cell>
          <cell r="J274">
            <v>1260</v>
          </cell>
          <cell r="K274">
            <v>-1996968</v>
          </cell>
        </row>
        <row r="275">
          <cell r="A275">
            <v>268</v>
          </cell>
          <cell r="B275">
            <v>35856</v>
          </cell>
          <cell r="C275" t="str">
            <v>ごみ袋</v>
          </cell>
          <cell r="D275" t="str">
            <v>ニュードラッグ</v>
          </cell>
          <cell r="E275">
            <v>538</v>
          </cell>
          <cell r="F275" t="str">
            <v>雑費</v>
          </cell>
          <cell r="G275">
            <v>100</v>
          </cell>
          <cell r="H275" t="str">
            <v>現金</v>
          </cell>
          <cell r="J275">
            <v>71</v>
          </cell>
          <cell r="K275">
            <v>-1997039</v>
          </cell>
        </row>
        <row r="276">
          <cell r="A276">
            <v>269</v>
          </cell>
          <cell r="B276">
            <v>35856</v>
          </cell>
          <cell r="C276" t="str">
            <v>亀ｺﾝ永田氏・竹下氏・霞氏</v>
          </cell>
          <cell r="D276" t="str">
            <v>じゃがいも亭</v>
          </cell>
          <cell r="E276">
            <v>535</v>
          </cell>
          <cell r="F276" t="str">
            <v>会議費</v>
          </cell>
          <cell r="G276">
            <v>100</v>
          </cell>
          <cell r="H276" t="str">
            <v>現金</v>
          </cell>
          <cell r="J276">
            <v>4000</v>
          </cell>
          <cell r="K276">
            <v>-2001039</v>
          </cell>
        </row>
        <row r="277">
          <cell r="A277">
            <v>270</v>
          </cell>
          <cell r="B277">
            <v>35856</v>
          </cell>
          <cell r="C277" t="str">
            <v>茶菓子代</v>
          </cell>
          <cell r="D277" t="str">
            <v>サンクス</v>
          </cell>
          <cell r="E277">
            <v>503</v>
          </cell>
          <cell r="F277" t="str">
            <v>福利厚生費</v>
          </cell>
          <cell r="G277">
            <v>100</v>
          </cell>
          <cell r="H277" t="str">
            <v>現金</v>
          </cell>
          <cell r="J277">
            <v>1096</v>
          </cell>
          <cell r="K277">
            <v>-2002135</v>
          </cell>
        </row>
        <row r="278">
          <cell r="A278">
            <v>271</v>
          </cell>
          <cell r="B278">
            <v>35857</v>
          </cell>
          <cell r="C278" t="str">
            <v>茶菓子代</v>
          </cell>
          <cell r="D278" t="str">
            <v>KOBE BELL</v>
          </cell>
          <cell r="E278">
            <v>503</v>
          </cell>
          <cell r="F278" t="str">
            <v>福利厚生費</v>
          </cell>
          <cell r="G278">
            <v>100</v>
          </cell>
          <cell r="H278" t="str">
            <v>現金</v>
          </cell>
          <cell r="J278">
            <v>305</v>
          </cell>
          <cell r="K278">
            <v>-2002440</v>
          </cell>
        </row>
        <row r="279">
          <cell r="A279">
            <v>272</v>
          </cell>
          <cell r="B279">
            <v>35857</v>
          </cell>
          <cell r="C279" t="str">
            <v>夜食代</v>
          </cell>
          <cell r="D279" t="str">
            <v>am pm</v>
          </cell>
          <cell r="E279">
            <v>503</v>
          </cell>
          <cell r="F279" t="str">
            <v>福利厚生費</v>
          </cell>
          <cell r="G279">
            <v>100</v>
          </cell>
          <cell r="H279" t="str">
            <v>現金</v>
          </cell>
          <cell r="J279">
            <v>924</v>
          </cell>
          <cell r="K279">
            <v>-2003364</v>
          </cell>
        </row>
        <row r="280">
          <cell r="A280">
            <v>273</v>
          </cell>
          <cell r="B280">
            <v>35857</v>
          </cell>
          <cell r="C280" t="str">
            <v>お茶代</v>
          </cell>
          <cell r="D280" t="str">
            <v>am pm</v>
          </cell>
          <cell r="E280">
            <v>503</v>
          </cell>
          <cell r="F280" t="str">
            <v>福利厚生費</v>
          </cell>
          <cell r="G280">
            <v>100</v>
          </cell>
          <cell r="H280" t="str">
            <v>現金</v>
          </cell>
          <cell r="J280">
            <v>1102</v>
          </cell>
          <cell r="K280">
            <v>-2004466</v>
          </cell>
        </row>
        <row r="281">
          <cell r="A281">
            <v>274</v>
          </cell>
          <cell r="B281">
            <v>35857</v>
          </cell>
          <cell r="C281" t="str">
            <v>会計顧問報酬</v>
          </cell>
          <cell r="D281" t="str">
            <v>中川会計事務所</v>
          </cell>
          <cell r="E281">
            <v>537</v>
          </cell>
          <cell r="F281" t="str">
            <v>顧問報酬</v>
          </cell>
          <cell r="G281">
            <v>100</v>
          </cell>
          <cell r="H281" t="str">
            <v>現金</v>
          </cell>
          <cell r="J281">
            <v>14250</v>
          </cell>
          <cell r="K281">
            <v>-2018716</v>
          </cell>
        </row>
        <row r="282">
          <cell r="A282">
            <v>275</v>
          </cell>
          <cell r="B282">
            <v>35857</v>
          </cell>
          <cell r="C282" t="str">
            <v>源泉所得税</v>
          </cell>
          <cell r="D282" t="str">
            <v>中川会計事務所</v>
          </cell>
          <cell r="E282">
            <v>537</v>
          </cell>
          <cell r="F282" t="str">
            <v>顧問報酬</v>
          </cell>
          <cell r="G282">
            <v>208</v>
          </cell>
          <cell r="H282" t="str">
            <v>預り金</v>
          </cell>
          <cell r="J282">
            <v>1500</v>
          </cell>
          <cell r="K282">
            <v>-2020216</v>
          </cell>
        </row>
        <row r="283">
          <cell r="A283">
            <v>276</v>
          </cell>
          <cell r="B283">
            <v>35857</v>
          </cell>
          <cell r="C283" t="str">
            <v>亀ｺﾝ竹下氏・山口氏</v>
          </cell>
          <cell r="D283" t="str">
            <v>牛庵</v>
          </cell>
          <cell r="E283">
            <v>535</v>
          </cell>
          <cell r="F283" t="str">
            <v>会議費</v>
          </cell>
          <cell r="G283">
            <v>100</v>
          </cell>
          <cell r="H283" t="str">
            <v>現金</v>
          </cell>
          <cell r="J283">
            <v>1940</v>
          </cell>
          <cell r="K283">
            <v>-2022156</v>
          </cell>
        </row>
        <row r="284">
          <cell r="A284">
            <v>277</v>
          </cell>
          <cell r="B284">
            <v>35858</v>
          </cell>
          <cell r="C284" t="str">
            <v>夜食代</v>
          </cell>
          <cell r="D284" t="str">
            <v>am pm</v>
          </cell>
          <cell r="E284">
            <v>503</v>
          </cell>
          <cell r="F284" t="str">
            <v>福利厚生費</v>
          </cell>
          <cell r="G284">
            <v>100</v>
          </cell>
          <cell r="H284" t="str">
            <v>現金</v>
          </cell>
          <cell r="J284">
            <v>1170</v>
          </cell>
          <cell r="K284">
            <v>-2023326</v>
          </cell>
        </row>
        <row r="285">
          <cell r="A285">
            <v>278</v>
          </cell>
          <cell r="B285">
            <v>35858</v>
          </cell>
          <cell r="C285" t="str">
            <v>夜食代</v>
          </cell>
          <cell r="D285" t="str">
            <v>セイフー</v>
          </cell>
          <cell r="E285">
            <v>503</v>
          </cell>
          <cell r="F285" t="str">
            <v>福利厚生費</v>
          </cell>
          <cell r="G285">
            <v>100</v>
          </cell>
          <cell r="H285" t="str">
            <v>現金</v>
          </cell>
          <cell r="J285">
            <v>783</v>
          </cell>
          <cell r="K285">
            <v>-2024109</v>
          </cell>
        </row>
        <row r="286">
          <cell r="A286">
            <v>279</v>
          </cell>
          <cell r="B286">
            <v>35858</v>
          </cell>
          <cell r="C286" t="str">
            <v>茶菓子代</v>
          </cell>
          <cell r="D286" t="str">
            <v>am pm</v>
          </cell>
          <cell r="E286">
            <v>503</v>
          </cell>
          <cell r="F286" t="str">
            <v>福利厚生費</v>
          </cell>
          <cell r="G286">
            <v>100</v>
          </cell>
          <cell r="H286" t="str">
            <v>現金</v>
          </cell>
          <cell r="J286">
            <v>365</v>
          </cell>
          <cell r="K286">
            <v>-2024474</v>
          </cell>
        </row>
        <row r="287">
          <cell r="A287">
            <v>280</v>
          </cell>
          <cell r="B287">
            <v>35858</v>
          </cell>
          <cell r="C287" t="str">
            <v>お茶代</v>
          </cell>
          <cell r="D287" t="str">
            <v>am pm</v>
          </cell>
          <cell r="E287">
            <v>503</v>
          </cell>
          <cell r="F287" t="str">
            <v>福利厚生費</v>
          </cell>
          <cell r="G287">
            <v>100</v>
          </cell>
          <cell r="H287" t="str">
            <v>現金</v>
          </cell>
          <cell r="J287">
            <v>136</v>
          </cell>
          <cell r="K287">
            <v>-2024610</v>
          </cell>
        </row>
        <row r="288">
          <cell r="A288">
            <v>281</v>
          </cell>
          <cell r="B288">
            <v>35859</v>
          </cell>
          <cell r="C288" t="str">
            <v>夜食代</v>
          </cell>
          <cell r="D288" t="str">
            <v>ローソン</v>
          </cell>
          <cell r="E288">
            <v>503</v>
          </cell>
          <cell r="F288" t="str">
            <v>福利厚生費</v>
          </cell>
          <cell r="G288">
            <v>100</v>
          </cell>
          <cell r="H288" t="str">
            <v>現金</v>
          </cell>
          <cell r="J288">
            <v>777</v>
          </cell>
          <cell r="K288">
            <v>-2025387</v>
          </cell>
        </row>
        <row r="289">
          <cell r="A289">
            <v>282</v>
          </cell>
          <cell r="B289">
            <v>35859</v>
          </cell>
          <cell r="C289" t="str">
            <v>亀ｺﾝ永田氏</v>
          </cell>
          <cell r="D289" t="str">
            <v>フレッシュネスバーガー</v>
          </cell>
          <cell r="E289">
            <v>535</v>
          </cell>
          <cell r="F289" t="str">
            <v>会議費</v>
          </cell>
          <cell r="G289">
            <v>100</v>
          </cell>
          <cell r="H289" t="str">
            <v>現金</v>
          </cell>
          <cell r="J289">
            <v>1197</v>
          </cell>
          <cell r="K289">
            <v>-2026584</v>
          </cell>
        </row>
        <row r="290">
          <cell r="A290">
            <v>283</v>
          </cell>
          <cell r="B290">
            <v>35860</v>
          </cell>
          <cell r="C290" t="str">
            <v>夜食代</v>
          </cell>
          <cell r="D290" t="str">
            <v>ローソン</v>
          </cell>
          <cell r="E290">
            <v>503</v>
          </cell>
          <cell r="F290" t="str">
            <v>福利厚生費</v>
          </cell>
          <cell r="G290">
            <v>100</v>
          </cell>
          <cell r="H290" t="str">
            <v>現金</v>
          </cell>
          <cell r="J290">
            <v>1305</v>
          </cell>
          <cell r="K290">
            <v>-2027889</v>
          </cell>
        </row>
        <row r="291">
          <cell r="A291">
            <v>284</v>
          </cell>
          <cell r="B291">
            <v>35860</v>
          </cell>
          <cell r="C291" t="str">
            <v>夜食代</v>
          </cell>
          <cell r="D291" t="str">
            <v>マクドナルド</v>
          </cell>
          <cell r="E291">
            <v>503</v>
          </cell>
          <cell r="F291" t="str">
            <v>福利厚生費</v>
          </cell>
          <cell r="G291">
            <v>100</v>
          </cell>
          <cell r="H291" t="str">
            <v>現金</v>
          </cell>
          <cell r="J291">
            <v>420</v>
          </cell>
          <cell r="K291">
            <v>-2028309</v>
          </cell>
        </row>
        <row r="292">
          <cell r="A292">
            <v>285</v>
          </cell>
          <cell r="B292">
            <v>35861</v>
          </cell>
          <cell r="C292" t="str">
            <v>亀ｺﾝ竹下氏</v>
          </cell>
          <cell r="D292" t="str">
            <v>ケンタッキー</v>
          </cell>
          <cell r="E292">
            <v>535</v>
          </cell>
          <cell r="F292" t="str">
            <v>会議費</v>
          </cell>
          <cell r="G292">
            <v>100</v>
          </cell>
          <cell r="H292" t="str">
            <v>現金</v>
          </cell>
          <cell r="J292">
            <v>1270</v>
          </cell>
          <cell r="K292">
            <v>-2029579</v>
          </cell>
        </row>
        <row r="293">
          <cell r="A293">
            <v>286</v>
          </cell>
          <cell r="B293">
            <v>35861</v>
          </cell>
          <cell r="C293" t="str">
            <v>日経新聞</v>
          </cell>
          <cell r="D293" t="str">
            <v>ローソン</v>
          </cell>
          <cell r="E293">
            <v>516</v>
          </cell>
          <cell r="F293" t="str">
            <v>図書研究費</v>
          </cell>
          <cell r="G293">
            <v>100</v>
          </cell>
          <cell r="H293" t="str">
            <v>現金</v>
          </cell>
          <cell r="J293">
            <v>130</v>
          </cell>
          <cell r="K293">
            <v>-2029709</v>
          </cell>
        </row>
        <row r="294">
          <cell r="A294">
            <v>287</v>
          </cell>
          <cell r="B294">
            <v>35861</v>
          </cell>
          <cell r="C294" t="str">
            <v>お茶代</v>
          </cell>
          <cell r="D294" t="str">
            <v>ローソン</v>
          </cell>
          <cell r="E294">
            <v>503</v>
          </cell>
          <cell r="F294" t="str">
            <v>福利厚生費</v>
          </cell>
          <cell r="G294">
            <v>100</v>
          </cell>
          <cell r="H294" t="str">
            <v>現金</v>
          </cell>
          <cell r="J294">
            <v>430</v>
          </cell>
          <cell r="K294">
            <v>-2030139</v>
          </cell>
        </row>
        <row r="295">
          <cell r="A295">
            <v>288</v>
          </cell>
          <cell r="B295">
            <v>35861</v>
          </cell>
          <cell r="C295" t="str">
            <v>コンピュータ関係</v>
          </cell>
          <cell r="D295" t="str">
            <v>ブックバーン</v>
          </cell>
          <cell r="E295">
            <v>516</v>
          </cell>
          <cell r="F295" t="str">
            <v>図書研究費</v>
          </cell>
          <cell r="G295">
            <v>100</v>
          </cell>
          <cell r="H295" t="str">
            <v>現金</v>
          </cell>
          <cell r="J295">
            <v>407</v>
          </cell>
          <cell r="K295">
            <v>-2030546</v>
          </cell>
        </row>
        <row r="296">
          <cell r="A296">
            <v>289</v>
          </cell>
          <cell r="B296">
            <v>35863</v>
          </cell>
          <cell r="C296" t="str">
            <v>亀ｺﾝ永田氏</v>
          </cell>
          <cell r="D296" t="str">
            <v>フレッシュネスバーガー</v>
          </cell>
          <cell r="E296">
            <v>535</v>
          </cell>
          <cell r="F296" t="str">
            <v>会議費</v>
          </cell>
          <cell r="G296">
            <v>100</v>
          </cell>
          <cell r="H296" t="str">
            <v>現金</v>
          </cell>
          <cell r="J296">
            <v>1008</v>
          </cell>
          <cell r="K296">
            <v>-2031554</v>
          </cell>
        </row>
        <row r="297">
          <cell r="A297">
            <v>290</v>
          </cell>
          <cell r="B297">
            <v>35863</v>
          </cell>
          <cell r="C297" t="str">
            <v>お茶代</v>
          </cell>
          <cell r="D297" t="str">
            <v>ファミリーマート</v>
          </cell>
          <cell r="E297">
            <v>503</v>
          </cell>
          <cell r="F297" t="str">
            <v>福利厚生費</v>
          </cell>
          <cell r="G297">
            <v>100</v>
          </cell>
          <cell r="H297" t="str">
            <v>現金</v>
          </cell>
          <cell r="J297">
            <v>533</v>
          </cell>
          <cell r="K297">
            <v>-2032087</v>
          </cell>
        </row>
        <row r="298">
          <cell r="A298">
            <v>291</v>
          </cell>
          <cell r="B298">
            <v>35863</v>
          </cell>
          <cell r="C298" t="str">
            <v>夜食代</v>
          </cell>
          <cell r="D298" t="str">
            <v>セイフー</v>
          </cell>
          <cell r="E298">
            <v>503</v>
          </cell>
          <cell r="F298" t="str">
            <v>福利厚生費</v>
          </cell>
          <cell r="G298">
            <v>100</v>
          </cell>
          <cell r="H298" t="str">
            <v>現金</v>
          </cell>
          <cell r="J298">
            <v>1454</v>
          </cell>
          <cell r="K298">
            <v>-2033541</v>
          </cell>
        </row>
        <row r="299">
          <cell r="A299">
            <v>292</v>
          </cell>
          <cell r="B299">
            <v>35864</v>
          </cell>
          <cell r="C299" t="str">
            <v>茶菓子代</v>
          </cell>
          <cell r="D299" t="str">
            <v>浅野屋</v>
          </cell>
          <cell r="E299">
            <v>503</v>
          </cell>
          <cell r="F299" t="str">
            <v>福利厚生費</v>
          </cell>
          <cell r="G299">
            <v>100</v>
          </cell>
          <cell r="H299" t="str">
            <v>現金</v>
          </cell>
          <cell r="J299">
            <v>590</v>
          </cell>
          <cell r="K299">
            <v>-2034131</v>
          </cell>
        </row>
        <row r="300">
          <cell r="A300">
            <v>293</v>
          </cell>
          <cell r="B300">
            <v>35864</v>
          </cell>
          <cell r="C300" t="str">
            <v>コンピュータ雑誌</v>
          </cell>
          <cell r="D300" t="str">
            <v>あおい書店</v>
          </cell>
          <cell r="E300">
            <v>516</v>
          </cell>
          <cell r="F300" t="str">
            <v>図書研究費</v>
          </cell>
          <cell r="G300">
            <v>100</v>
          </cell>
          <cell r="H300" t="str">
            <v>現金</v>
          </cell>
          <cell r="J300">
            <v>500</v>
          </cell>
          <cell r="K300">
            <v>-2034631</v>
          </cell>
        </row>
        <row r="301">
          <cell r="A301">
            <v>294</v>
          </cell>
          <cell r="B301">
            <v>35864</v>
          </cell>
          <cell r="C301" t="str">
            <v>お茶代</v>
          </cell>
          <cell r="D301" t="str">
            <v>サンクス</v>
          </cell>
          <cell r="E301">
            <v>503</v>
          </cell>
          <cell r="F301" t="str">
            <v>福利厚生費</v>
          </cell>
          <cell r="G301">
            <v>100</v>
          </cell>
          <cell r="H301" t="str">
            <v>現金</v>
          </cell>
          <cell r="J301">
            <v>246</v>
          </cell>
          <cell r="K301">
            <v>-2034877</v>
          </cell>
        </row>
        <row r="302">
          <cell r="A302">
            <v>295</v>
          </cell>
          <cell r="B302">
            <v>35865</v>
          </cell>
          <cell r="C302" t="str">
            <v>ＦＡＸ　ＡＩＴ宛て</v>
          </cell>
          <cell r="D302" t="str">
            <v>ファミリーマート</v>
          </cell>
          <cell r="E302">
            <v>523</v>
          </cell>
          <cell r="F302" t="str">
            <v>通信費</v>
          </cell>
          <cell r="G302">
            <v>100</v>
          </cell>
          <cell r="H302" t="str">
            <v>現金</v>
          </cell>
          <cell r="J302">
            <v>150</v>
          </cell>
          <cell r="K302">
            <v>-2035027</v>
          </cell>
        </row>
        <row r="303">
          <cell r="A303">
            <v>296</v>
          </cell>
          <cell r="B303">
            <v>35865</v>
          </cell>
          <cell r="C303" t="str">
            <v>山口氏</v>
          </cell>
          <cell r="D303" t="str">
            <v>ピアチューレ</v>
          </cell>
          <cell r="E303">
            <v>535</v>
          </cell>
          <cell r="F303" t="str">
            <v>会議費</v>
          </cell>
          <cell r="G303">
            <v>100</v>
          </cell>
          <cell r="H303" t="str">
            <v>現金</v>
          </cell>
          <cell r="J303">
            <v>4641</v>
          </cell>
          <cell r="K303">
            <v>-2039668</v>
          </cell>
        </row>
        <row r="304">
          <cell r="A304">
            <v>297</v>
          </cell>
          <cell r="B304">
            <v>35865</v>
          </cell>
          <cell r="C304" t="str">
            <v>茶菓子代</v>
          </cell>
          <cell r="D304" t="str">
            <v>丸正</v>
          </cell>
          <cell r="E304">
            <v>503</v>
          </cell>
          <cell r="F304" t="str">
            <v>福利厚生費</v>
          </cell>
          <cell r="G304">
            <v>100</v>
          </cell>
          <cell r="H304" t="str">
            <v>現金</v>
          </cell>
          <cell r="J304">
            <v>717</v>
          </cell>
          <cell r="K304">
            <v>-2040385</v>
          </cell>
        </row>
        <row r="305">
          <cell r="A305">
            <v>298</v>
          </cell>
          <cell r="B305">
            <v>35865</v>
          </cell>
          <cell r="C305" t="str">
            <v>夜食代</v>
          </cell>
          <cell r="D305" t="str">
            <v>セイフー</v>
          </cell>
          <cell r="E305">
            <v>503</v>
          </cell>
          <cell r="F305" t="str">
            <v>福利厚生費</v>
          </cell>
          <cell r="G305">
            <v>100</v>
          </cell>
          <cell r="H305" t="str">
            <v>現金</v>
          </cell>
          <cell r="J305">
            <v>1704</v>
          </cell>
          <cell r="K305">
            <v>-2042089</v>
          </cell>
        </row>
        <row r="306">
          <cell r="A306">
            <v>299</v>
          </cell>
          <cell r="B306">
            <v>35866</v>
          </cell>
          <cell r="C306" t="str">
            <v>FAX ビ・アーム宛て</v>
          </cell>
          <cell r="D306" t="str">
            <v>ファミリーマート</v>
          </cell>
          <cell r="E306">
            <v>523</v>
          </cell>
          <cell r="F306" t="str">
            <v>通信費</v>
          </cell>
          <cell r="G306">
            <v>100</v>
          </cell>
          <cell r="H306" t="str">
            <v>現金</v>
          </cell>
          <cell r="J306">
            <v>150</v>
          </cell>
          <cell r="K306">
            <v>-2042239</v>
          </cell>
        </row>
        <row r="307">
          <cell r="A307">
            <v>300</v>
          </cell>
          <cell r="B307">
            <v>35866</v>
          </cell>
          <cell r="C307" t="str">
            <v>茶菓子代</v>
          </cell>
          <cell r="D307" t="str">
            <v>ミスタードーナッツ</v>
          </cell>
          <cell r="E307">
            <v>503</v>
          </cell>
          <cell r="F307" t="str">
            <v>福利厚生費</v>
          </cell>
          <cell r="G307">
            <v>100</v>
          </cell>
          <cell r="H307" t="str">
            <v>現金</v>
          </cell>
          <cell r="J307">
            <v>819</v>
          </cell>
          <cell r="K307">
            <v>-2043058</v>
          </cell>
        </row>
        <row r="308">
          <cell r="A308">
            <v>301</v>
          </cell>
          <cell r="B308">
            <v>35866</v>
          </cell>
          <cell r="C308" t="str">
            <v>ＦＡＸ　ＡＩＴ宛て</v>
          </cell>
          <cell r="D308" t="str">
            <v>ファミリーマート</v>
          </cell>
          <cell r="E308">
            <v>523</v>
          </cell>
          <cell r="F308" t="str">
            <v>通信費</v>
          </cell>
          <cell r="G308">
            <v>100</v>
          </cell>
          <cell r="H308" t="str">
            <v>現金</v>
          </cell>
          <cell r="J308">
            <v>400</v>
          </cell>
          <cell r="K308">
            <v>-2043458</v>
          </cell>
        </row>
        <row r="309">
          <cell r="A309">
            <v>302</v>
          </cell>
          <cell r="B309">
            <v>35866</v>
          </cell>
          <cell r="C309" t="str">
            <v>ボールペン</v>
          </cell>
          <cell r="D309" t="str">
            <v>三友社</v>
          </cell>
          <cell r="E309">
            <v>524</v>
          </cell>
          <cell r="F309" t="str">
            <v>事務消耗品費</v>
          </cell>
          <cell r="G309">
            <v>100</v>
          </cell>
          <cell r="H309" t="str">
            <v>現金</v>
          </cell>
          <cell r="J309">
            <v>100</v>
          </cell>
          <cell r="K309">
            <v>-2043558</v>
          </cell>
        </row>
        <row r="310">
          <cell r="A310">
            <v>303</v>
          </cell>
          <cell r="B310">
            <v>35867</v>
          </cell>
          <cell r="C310" t="str">
            <v>お茶代</v>
          </cell>
          <cell r="D310" t="str">
            <v>ローソン</v>
          </cell>
          <cell r="E310">
            <v>503</v>
          </cell>
          <cell r="F310" t="str">
            <v>福利厚生費</v>
          </cell>
          <cell r="G310">
            <v>100</v>
          </cell>
          <cell r="H310" t="str">
            <v>現金</v>
          </cell>
          <cell r="J310">
            <v>386</v>
          </cell>
          <cell r="K310">
            <v>-2043944</v>
          </cell>
        </row>
        <row r="311">
          <cell r="A311">
            <v>304</v>
          </cell>
          <cell r="B311">
            <v>35867</v>
          </cell>
          <cell r="C311" t="str">
            <v>夜食代</v>
          </cell>
          <cell r="D311" t="str">
            <v>茶月</v>
          </cell>
          <cell r="E311">
            <v>503</v>
          </cell>
          <cell r="F311" t="str">
            <v>福利厚生費</v>
          </cell>
          <cell r="G311">
            <v>100</v>
          </cell>
          <cell r="H311" t="str">
            <v>現金</v>
          </cell>
          <cell r="J311">
            <v>2100</v>
          </cell>
          <cell r="K311">
            <v>-2046044</v>
          </cell>
        </row>
        <row r="312">
          <cell r="A312">
            <v>305</v>
          </cell>
          <cell r="B312">
            <v>35867</v>
          </cell>
          <cell r="C312" t="str">
            <v>夜食代</v>
          </cell>
          <cell r="D312" t="str">
            <v>セイフー</v>
          </cell>
          <cell r="E312">
            <v>503</v>
          </cell>
          <cell r="F312" t="str">
            <v>福利厚生費</v>
          </cell>
          <cell r="G312">
            <v>100</v>
          </cell>
          <cell r="H312" t="str">
            <v>現金</v>
          </cell>
          <cell r="J312">
            <v>304</v>
          </cell>
          <cell r="K312">
            <v>-2046348</v>
          </cell>
        </row>
        <row r="313">
          <cell r="A313">
            <v>306</v>
          </cell>
          <cell r="B313">
            <v>35867</v>
          </cell>
          <cell r="C313" t="str">
            <v>夜食代</v>
          </cell>
          <cell r="D313" t="str">
            <v>コミュニティ・ストア</v>
          </cell>
          <cell r="E313">
            <v>503</v>
          </cell>
          <cell r="F313" t="str">
            <v>福利厚生費</v>
          </cell>
          <cell r="G313">
            <v>100</v>
          </cell>
          <cell r="H313" t="str">
            <v>現金</v>
          </cell>
          <cell r="J313">
            <v>394</v>
          </cell>
          <cell r="K313">
            <v>-2046742</v>
          </cell>
        </row>
        <row r="314">
          <cell r="A314">
            <v>307</v>
          </cell>
          <cell r="B314">
            <v>35868</v>
          </cell>
          <cell r="C314" t="str">
            <v>お茶代</v>
          </cell>
          <cell r="D314" t="str">
            <v>am pm</v>
          </cell>
          <cell r="E314">
            <v>503</v>
          </cell>
          <cell r="F314" t="str">
            <v>福利厚生費</v>
          </cell>
          <cell r="G314">
            <v>100</v>
          </cell>
          <cell r="H314" t="str">
            <v>現金</v>
          </cell>
          <cell r="J314">
            <v>315</v>
          </cell>
          <cell r="K314">
            <v>-2047057</v>
          </cell>
        </row>
        <row r="315">
          <cell r="A315">
            <v>308</v>
          </cell>
          <cell r="B315">
            <v>35868</v>
          </cell>
          <cell r="C315" t="str">
            <v>亀コン竹下氏</v>
          </cell>
          <cell r="D315" t="str">
            <v>SUBWAY</v>
          </cell>
          <cell r="E315">
            <v>535</v>
          </cell>
          <cell r="F315" t="str">
            <v>会議費</v>
          </cell>
          <cell r="G315">
            <v>100</v>
          </cell>
          <cell r="H315" t="str">
            <v>現金</v>
          </cell>
          <cell r="J315">
            <v>1837</v>
          </cell>
          <cell r="K315">
            <v>-2048894</v>
          </cell>
        </row>
        <row r="316">
          <cell r="A316">
            <v>309</v>
          </cell>
          <cell r="B316">
            <v>35869</v>
          </cell>
          <cell r="C316" t="str">
            <v>亀コン永田氏</v>
          </cell>
          <cell r="D316" t="str">
            <v>Denny's</v>
          </cell>
          <cell r="E316">
            <v>535</v>
          </cell>
          <cell r="F316" t="str">
            <v>会議費</v>
          </cell>
          <cell r="G316">
            <v>100</v>
          </cell>
          <cell r="H316" t="str">
            <v>現金</v>
          </cell>
          <cell r="J316">
            <v>3488</v>
          </cell>
          <cell r="K316">
            <v>-2052382</v>
          </cell>
        </row>
        <row r="317">
          <cell r="A317">
            <v>310</v>
          </cell>
          <cell r="B317">
            <v>35869</v>
          </cell>
          <cell r="C317" t="str">
            <v>お菓子代</v>
          </cell>
          <cell r="D317" t="str">
            <v>ローソン</v>
          </cell>
          <cell r="E317">
            <v>503</v>
          </cell>
          <cell r="F317" t="str">
            <v>福利厚生費</v>
          </cell>
          <cell r="G317">
            <v>100</v>
          </cell>
          <cell r="H317" t="str">
            <v>現金</v>
          </cell>
          <cell r="J317">
            <v>606</v>
          </cell>
          <cell r="K317">
            <v>-2052988</v>
          </cell>
        </row>
        <row r="318">
          <cell r="A318">
            <v>311</v>
          </cell>
          <cell r="B318">
            <v>35869</v>
          </cell>
          <cell r="C318" t="str">
            <v>夜食代</v>
          </cell>
          <cell r="D318" t="str">
            <v>オリジン弁当</v>
          </cell>
          <cell r="E318">
            <v>503</v>
          </cell>
          <cell r="F318" t="str">
            <v>福利厚生費</v>
          </cell>
          <cell r="G318">
            <v>100</v>
          </cell>
          <cell r="H318" t="str">
            <v>現金</v>
          </cell>
          <cell r="J318">
            <v>1354</v>
          </cell>
          <cell r="K318">
            <v>-2054342</v>
          </cell>
        </row>
        <row r="319">
          <cell r="A319">
            <v>312</v>
          </cell>
          <cell r="B319">
            <v>35870</v>
          </cell>
          <cell r="C319" t="str">
            <v>亀コン永田氏</v>
          </cell>
          <cell r="D319" t="str">
            <v>Denny's</v>
          </cell>
          <cell r="E319">
            <v>535</v>
          </cell>
          <cell r="F319" t="str">
            <v>会議費</v>
          </cell>
          <cell r="G319">
            <v>100</v>
          </cell>
          <cell r="H319" t="str">
            <v>現金</v>
          </cell>
          <cell r="J319">
            <v>2968</v>
          </cell>
          <cell r="K319">
            <v>-2057310</v>
          </cell>
        </row>
        <row r="320">
          <cell r="A320">
            <v>313</v>
          </cell>
          <cell r="B320">
            <v>35870</v>
          </cell>
          <cell r="C320" t="str">
            <v>亀コン永田氏</v>
          </cell>
          <cell r="E320">
            <v>535</v>
          </cell>
          <cell r="F320" t="str">
            <v>会議費</v>
          </cell>
          <cell r="G320">
            <v>100</v>
          </cell>
          <cell r="H320" t="str">
            <v>現金</v>
          </cell>
          <cell r="J320">
            <v>2142</v>
          </cell>
          <cell r="K320">
            <v>-2059452</v>
          </cell>
        </row>
        <row r="321">
          <cell r="A321">
            <v>314</v>
          </cell>
          <cell r="B321">
            <v>35870</v>
          </cell>
          <cell r="C321" t="str">
            <v>電話代</v>
          </cell>
          <cell r="D321" t="str">
            <v>日本テレコム</v>
          </cell>
          <cell r="E321">
            <v>523</v>
          </cell>
          <cell r="F321" t="str">
            <v>通信費</v>
          </cell>
          <cell r="G321">
            <v>114</v>
          </cell>
          <cell r="H321" t="str">
            <v>普通預金</v>
          </cell>
          <cell r="J321">
            <v>399</v>
          </cell>
          <cell r="K321">
            <v>-2059851</v>
          </cell>
        </row>
        <row r="322">
          <cell r="A322">
            <v>315</v>
          </cell>
          <cell r="B322">
            <v>35871</v>
          </cell>
          <cell r="C322" t="str">
            <v>亀コン竹下氏</v>
          </cell>
          <cell r="D322" t="str">
            <v>RAKERU</v>
          </cell>
          <cell r="E322">
            <v>535</v>
          </cell>
          <cell r="F322" t="str">
            <v>会議費</v>
          </cell>
          <cell r="G322">
            <v>100</v>
          </cell>
          <cell r="H322" t="str">
            <v>現金</v>
          </cell>
          <cell r="J322">
            <v>2194</v>
          </cell>
          <cell r="K322">
            <v>-2062045</v>
          </cell>
        </row>
        <row r="323">
          <cell r="A323">
            <v>316</v>
          </cell>
          <cell r="B323">
            <v>35871</v>
          </cell>
          <cell r="C323" t="str">
            <v>亀コン竹下氏・霞氏</v>
          </cell>
          <cell r="D323" t="str">
            <v>ﾊﾅｺｳｼﾞ</v>
          </cell>
          <cell r="E323">
            <v>535</v>
          </cell>
          <cell r="F323" t="str">
            <v>会議費</v>
          </cell>
          <cell r="G323">
            <v>100</v>
          </cell>
          <cell r="H323" t="str">
            <v>現金</v>
          </cell>
          <cell r="J323">
            <v>1113</v>
          </cell>
          <cell r="K323">
            <v>-2063158</v>
          </cell>
        </row>
        <row r="324">
          <cell r="A324">
            <v>317</v>
          </cell>
          <cell r="B324">
            <v>35871</v>
          </cell>
          <cell r="C324" t="str">
            <v>夜食代</v>
          </cell>
          <cell r="D324" t="str">
            <v>セイフー</v>
          </cell>
          <cell r="E324">
            <v>503</v>
          </cell>
          <cell r="F324" t="str">
            <v>福利厚生費</v>
          </cell>
          <cell r="G324">
            <v>100</v>
          </cell>
          <cell r="H324" t="str">
            <v>現金</v>
          </cell>
          <cell r="J324">
            <v>877</v>
          </cell>
          <cell r="K324">
            <v>-2064035</v>
          </cell>
        </row>
        <row r="325">
          <cell r="A325">
            <v>318</v>
          </cell>
          <cell r="B325">
            <v>35872</v>
          </cell>
          <cell r="C325" t="str">
            <v>夜食代</v>
          </cell>
          <cell r="D325" t="str">
            <v>セイフー</v>
          </cell>
          <cell r="E325">
            <v>503</v>
          </cell>
          <cell r="F325" t="str">
            <v>福利厚生費</v>
          </cell>
          <cell r="G325">
            <v>100</v>
          </cell>
          <cell r="H325" t="str">
            <v>現金</v>
          </cell>
          <cell r="J325">
            <v>1471</v>
          </cell>
          <cell r="K325">
            <v>-2065506</v>
          </cell>
        </row>
        <row r="326">
          <cell r="A326">
            <v>319</v>
          </cell>
          <cell r="B326">
            <v>35873</v>
          </cell>
          <cell r="C326" t="str">
            <v>コンピュータ関係</v>
          </cell>
          <cell r="D326" t="str">
            <v>あおい書店</v>
          </cell>
          <cell r="E326">
            <v>516</v>
          </cell>
          <cell r="F326" t="str">
            <v>図書研究費</v>
          </cell>
          <cell r="G326">
            <v>100</v>
          </cell>
          <cell r="H326" t="str">
            <v>現金</v>
          </cell>
          <cell r="J326">
            <v>1365</v>
          </cell>
          <cell r="K326">
            <v>-2066871</v>
          </cell>
        </row>
        <row r="327">
          <cell r="A327">
            <v>320</v>
          </cell>
          <cell r="B327">
            <v>35873</v>
          </cell>
          <cell r="C327" t="str">
            <v>夜食代</v>
          </cell>
          <cell r="D327" t="str">
            <v>オリジン弁当</v>
          </cell>
          <cell r="E327">
            <v>503</v>
          </cell>
          <cell r="F327" t="str">
            <v>福利厚生費</v>
          </cell>
          <cell r="G327">
            <v>100</v>
          </cell>
          <cell r="H327" t="str">
            <v>現金</v>
          </cell>
          <cell r="J327">
            <v>470</v>
          </cell>
          <cell r="K327">
            <v>-2067341</v>
          </cell>
        </row>
        <row r="328">
          <cell r="A328">
            <v>321</v>
          </cell>
          <cell r="B328">
            <v>35874</v>
          </cell>
          <cell r="C328" t="str">
            <v>夜食代</v>
          </cell>
          <cell r="D328" t="str">
            <v>サクライ</v>
          </cell>
          <cell r="E328">
            <v>503</v>
          </cell>
          <cell r="F328" t="str">
            <v>福利厚生費</v>
          </cell>
          <cell r="G328">
            <v>100</v>
          </cell>
          <cell r="H328" t="str">
            <v>現金</v>
          </cell>
          <cell r="J328">
            <v>946</v>
          </cell>
          <cell r="K328">
            <v>-2068287</v>
          </cell>
        </row>
        <row r="329">
          <cell r="A329">
            <v>322</v>
          </cell>
          <cell r="B329">
            <v>35875</v>
          </cell>
          <cell r="C329" t="str">
            <v>亀コン永田氏</v>
          </cell>
          <cell r="D329" t="str">
            <v>フレッシュネスバーガー</v>
          </cell>
          <cell r="E329">
            <v>535</v>
          </cell>
          <cell r="F329" t="str">
            <v>会議費</v>
          </cell>
          <cell r="G329">
            <v>100</v>
          </cell>
          <cell r="H329" t="str">
            <v>現金</v>
          </cell>
          <cell r="J329">
            <v>1176</v>
          </cell>
          <cell r="K329">
            <v>-2069463</v>
          </cell>
        </row>
        <row r="330">
          <cell r="A330">
            <v>323</v>
          </cell>
          <cell r="B330">
            <v>35875</v>
          </cell>
          <cell r="C330" t="str">
            <v>お茶代</v>
          </cell>
          <cell r="D330" t="str">
            <v>サンクス</v>
          </cell>
          <cell r="E330">
            <v>503</v>
          </cell>
          <cell r="F330" t="str">
            <v>福利厚生費</v>
          </cell>
          <cell r="G330">
            <v>100</v>
          </cell>
          <cell r="H330" t="str">
            <v>現金</v>
          </cell>
          <cell r="J330">
            <v>129</v>
          </cell>
          <cell r="K330">
            <v>-2069592</v>
          </cell>
        </row>
        <row r="331">
          <cell r="A331">
            <v>324</v>
          </cell>
          <cell r="B331">
            <v>35876</v>
          </cell>
          <cell r="C331" t="str">
            <v>亀コン永田氏</v>
          </cell>
          <cell r="D331" t="str">
            <v>フレッシュネスバーガー</v>
          </cell>
          <cell r="E331">
            <v>535</v>
          </cell>
          <cell r="F331" t="str">
            <v>会議費</v>
          </cell>
          <cell r="G331">
            <v>100</v>
          </cell>
          <cell r="H331" t="str">
            <v>現金</v>
          </cell>
          <cell r="J331">
            <v>504</v>
          </cell>
          <cell r="K331">
            <v>-2070096</v>
          </cell>
        </row>
        <row r="332">
          <cell r="A332">
            <v>325</v>
          </cell>
          <cell r="B332">
            <v>35876</v>
          </cell>
          <cell r="C332" t="str">
            <v>夜食代</v>
          </cell>
          <cell r="D332" t="str">
            <v>ローソン</v>
          </cell>
          <cell r="E332">
            <v>503</v>
          </cell>
          <cell r="F332" t="str">
            <v>福利厚生費</v>
          </cell>
          <cell r="G332">
            <v>100</v>
          </cell>
          <cell r="H332" t="str">
            <v>現金</v>
          </cell>
          <cell r="J332">
            <v>3208</v>
          </cell>
          <cell r="K332">
            <v>-2073304</v>
          </cell>
        </row>
        <row r="333">
          <cell r="A333">
            <v>326</v>
          </cell>
          <cell r="B333">
            <v>35876</v>
          </cell>
          <cell r="C333" t="str">
            <v>コンピュータ関係</v>
          </cell>
          <cell r="D333" t="str">
            <v>ローソン</v>
          </cell>
          <cell r="E333">
            <v>516</v>
          </cell>
          <cell r="F333" t="str">
            <v>図書研究費</v>
          </cell>
          <cell r="G333">
            <v>100</v>
          </cell>
          <cell r="H333" t="str">
            <v>現金</v>
          </cell>
          <cell r="J333">
            <v>250</v>
          </cell>
          <cell r="K333">
            <v>-2073554</v>
          </cell>
        </row>
        <row r="334">
          <cell r="A334">
            <v>327</v>
          </cell>
          <cell r="B334">
            <v>35876</v>
          </cell>
          <cell r="C334" t="str">
            <v>夜食代</v>
          </cell>
          <cell r="D334" t="str">
            <v>茶月</v>
          </cell>
          <cell r="E334">
            <v>503</v>
          </cell>
          <cell r="F334" t="str">
            <v>福利厚生費</v>
          </cell>
          <cell r="G334">
            <v>100</v>
          </cell>
          <cell r="H334" t="str">
            <v>現金</v>
          </cell>
          <cell r="J334">
            <v>1575</v>
          </cell>
          <cell r="K334">
            <v>-2075129</v>
          </cell>
        </row>
        <row r="335">
          <cell r="A335">
            <v>328</v>
          </cell>
          <cell r="B335">
            <v>35876</v>
          </cell>
          <cell r="C335" t="str">
            <v>お茶代</v>
          </cell>
          <cell r="D335" t="str">
            <v>ローソン</v>
          </cell>
          <cell r="E335">
            <v>503</v>
          </cell>
          <cell r="F335" t="str">
            <v>福利厚生費</v>
          </cell>
          <cell r="G335">
            <v>100</v>
          </cell>
          <cell r="H335" t="str">
            <v>現金</v>
          </cell>
          <cell r="J335">
            <v>606</v>
          </cell>
          <cell r="K335">
            <v>-2075735</v>
          </cell>
        </row>
        <row r="336">
          <cell r="A336">
            <v>329</v>
          </cell>
          <cell r="B336">
            <v>35876</v>
          </cell>
          <cell r="C336" t="str">
            <v>コンピュータ誌</v>
          </cell>
          <cell r="D336" t="str">
            <v>オーブックス</v>
          </cell>
          <cell r="E336">
            <v>516</v>
          </cell>
          <cell r="F336" t="str">
            <v>図書研究費</v>
          </cell>
          <cell r="G336">
            <v>100</v>
          </cell>
          <cell r="H336" t="str">
            <v>現金</v>
          </cell>
          <cell r="J336">
            <v>1020</v>
          </cell>
          <cell r="K336">
            <v>-2076755</v>
          </cell>
        </row>
        <row r="337">
          <cell r="A337">
            <v>330</v>
          </cell>
          <cell r="B337">
            <v>35877</v>
          </cell>
          <cell r="C337" t="str">
            <v>夜食代</v>
          </cell>
          <cell r="D337" t="str">
            <v>丸正</v>
          </cell>
          <cell r="E337">
            <v>503</v>
          </cell>
          <cell r="F337" t="str">
            <v>福利厚生費</v>
          </cell>
          <cell r="G337">
            <v>100</v>
          </cell>
          <cell r="H337" t="str">
            <v>現金</v>
          </cell>
          <cell r="J337">
            <v>1409</v>
          </cell>
          <cell r="K337">
            <v>-2078164</v>
          </cell>
        </row>
        <row r="338">
          <cell r="A338">
            <v>331</v>
          </cell>
          <cell r="B338">
            <v>35877</v>
          </cell>
          <cell r="C338" t="str">
            <v>夜食代</v>
          </cell>
          <cell r="D338" t="str">
            <v>セイフー</v>
          </cell>
          <cell r="E338">
            <v>503</v>
          </cell>
          <cell r="F338" t="str">
            <v>福利厚生費</v>
          </cell>
          <cell r="G338">
            <v>100</v>
          </cell>
          <cell r="H338" t="str">
            <v>現金</v>
          </cell>
          <cell r="J338">
            <v>543</v>
          </cell>
          <cell r="K338">
            <v>-2078707</v>
          </cell>
        </row>
        <row r="339">
          <cell r="A339">
            <v>332</v>
          </cell>
          <cell r="B339">
            <v>35878</v>
          </cell>
          <cell r="C339" t="str">
            <v>お菓子代</v>
          </cell>
          <cell r="D339" t="str">
            <v>セブンイレブン</v>
          </cell>
          <cell r="E339">
            <v>503</v>
          </cell>
          <cell r="F339" t="str">
            <v>福利厚生費</v>
          </cell>
          <cell r="G339">
            <v>100</v>
          </cell>
          <cell r="H339" t="str">
            <v>現金</v>
          </cell>
          <cell r="J339">
            <v>152</v>
          </cell>
          <cell r="K339">
            <v>-2078859</v>
          </cell>
        </row>
        <row r="340">
          <cell r="A340">
            <v>333</v>
          </cell>
          <cell r="B340">
            <v>35879</v>
          </cell>
          <cell r="C340" t="str">
            <v>お菓子代</v>
          </cell>
          <cell r="D340" t="str">
            <v>セブンイレブン</v>
          </cell>
          <cell r="E340">
            <v>503</v>
          </cell>
          <cell r="F340" t="str">
            <v>福利厚生費</v>
          </cell>
          <cell r="G340">
            <v>100</v>
          </cell>
          <cell r="H340" t="str">
            <v>現金</v>
          </cell>
          <cell r="J340">
            <v>102</v>
          </cell>
          <cell r="K340">
            <v>-2078961</v>
          </cell>
        </row>
        <row r="341">
          <cell r="A341">
            <v>334</v>
          </cell>
          <cell r="B341">
            <v>35879</v>
          </cell>
          <cell r="C341" t="str">
            <v>亀コン霞氏</v>
          </cell>
          <cell r="D341" t="str">
            <v>ＹＯＫＯ</v>
          </cell>
          <cell r="E341">
            <v>535</v>
          </cell>
          <cell r="F341" t="str">
            <v>会議費</v>
          </cell>
          <cell r="G341">
            <v>100</v>
          </cell>
          <cell r="H341" t="str">
            <v>現金</v>
          </cell>
          <cell r="J341">
            <v>1155</v>
          </cell>
          <cell r="K341">
            <v>-2080116</v>
          </cell>
        </row>
        <row r="342">
          <cell r="A342">
            <v>335</v>
          </cell>
          <cell r="B342">
            <v>35879</v>
          </cell>
          <cell r="C342" t="str">
            <v>切手代</v>
          </cell>
          <cell r="D342" t="str">
            <v>am pm</v>
          </cell>
          <cell r="E342">
            <v>523</v>
          </cell>
          <cell r="F342" t="str">
            <v>通信費</v>
          </cell>
          <cell r="G342">
            <v>100</v>
          </cell>
          <cell r="H342" t="str">
            <v>現金</v>
          </cell>
          <cell r="J342">
            <v>500</v>
          </cell>
          <cell r="K342">
            <v>-2080616</v>
          </cell>
        </row>
        <row r="343">
          <cell r="A343">
            <v>336</v>
          </cell>
          <cell r="B343">
            <v>35879</v>
          </cell>
          <cell r="C343" t="str">
            <v>お茶代</v>
          </cell>
          <cell r="D343" t="str">
            <v>am pm</v>
          </cell>
          <cell r="E343">
            <v>503</v>
          </cell>
          <cell r="F343" t="str">
            <v>福利厚生費</v>
          </cell>
          <cell r="G343">
            <v>100</v>
          </cell>
          <cell r="H343" t="str">
            <v>現金</v>
          </cell>
          <cell r="J343">
            <v>483</v>
          </cell>
          <cell r="K343">
            <v>-2081099</v>
          </cell>
        </row>
        <row r="344">
          <cell r="A344">
            <v>337</v>
          </cell>
          <cell r="B344">
            <v>35880</v>
          </cell>
          <cell r="C344" t="str">
            <v>電話代</v>
          </cell>
          <cell r="D344" t="str">
            <v>ＤＤＩポケット</v>
          </cell>
          <cell r="E344">
            <v>523</v>
          </cell>
          <cell r="F344" t="str">
            <v>通信費</v>
          </cell>
          <cell r="G344">
            <v>114</v>
          </cell>
          <cell r="H344" t="str">
            <v>普通預金</v>
          </cell>
          <cell r="J344">
            <v>5491</v>
          </cell>
          <cell r="K344">
            <v>-2086590</v>
          </cell>
        </row>
        <row r="345">
          <cell r="A345">
            <v>338</v>
          </cell>
          <cell r="B345">
            <v>35880</v>
          </cell>
          <cell r="C345" t="str">
            <v>コピー代</v>
          </cell>
          <cell r="D345" t="str">
            <v>Kinko's</v>
          </cell>
          <cell r="E345">
            <v>524</v>
          </cell>
          <cell r="F345" t="str">
            <v>事務消耗品費</v>
          </cell>
          <cell r="G345">
            <v>100</v>
          </cell>
          <cell r="H345" t="str">
            <v>現金</v>
          </cell>
          <cell r="J345">
            <v>84</v>
          </cell>
          <cell r="K345">
            <v>-2086674</v>
          </cell>
        </row>
        <row r="346">
          <cell r="A346">
            <v>339</v>
          </cell>
          <cell r="B346">
            <v>35880</v>
          </cell>
          <cell r="C346" t="str">
            <v>お菓子代</v>
          </cell>
          <cell r="D346" t="str">
            <v>丸正</v>
          </cell>
          <cell r="E346">
            <v>503</v>
          </cell>
          <cell r="F346" t="str">
            <v>福利厚生費</v>
          </cell>
          <cell r="G346">
            <v>100</v>
          </cell>
          <cell r="H346" t="str">
            <v>現金</v>
          </cell>
          <cell r="J346">
            <v>270</v>
          </cell>
          <cell r="K346">
            <v>-2086944</v>
          </cell>
        </row>
        <row r="347">
          <cell r="A347">
            <v>340</v>
          </cell>
          <cell r="B347">
            <v>35880</v>
          </cell>
          <cell r="C347" t="str">
            <v>お茶代</v>
          </cell>
          <cell r="D347" t="str">
            <v>セブンイレブン</v>
          </cell>
          <cell r="E347">
            <v>503</v>
          </cell>
          <cell r="F347" t="str">
            <v>福利厚生費</v>
          </cell>
          <cell r="G347">
            <v>100</v>
          </cell>
          <cell r="H347" t="str">
            <v>現金</v>
          </cell>
          <cell r="J347">
            <v>228</v>
          </cell>
          <cell r="K347">
            <v>-2087172</v>
          </cell>
        </row>
        <row r="348">
          <cell r="A348">
            <v>341</v>
          </cell>
          <cell r="B348">
            <v>35880</v>
          </cell>
          <cell r="C348" t="str">
            <v>家賃代</v>
          </cell>
          <cell r="D348" t="str">
            <v>大塚刷毛製造（株）</v>
          </cell>
          <cell r="E348">
            <v>528</v>
          </cell>
          <cell r="F348" t="str">
            <v>地代・家賃</v>
          </cell>
          <cell r="G348">
            <v>100</v>
          </cell>
          <cell r="H348" t="str">
            <v>現金</v>
          </cell>
          <cell r="J348">
            <v>89000</v>
          </cell>
          <cell r="K348">
            <v>-2176172</v>
          </cell>
        </row>
        <row r="349">
          <cell r="A349">
            <v>342</v>
          </cell>
          <cell r="B349">
            <v>35881</v>
          </cell>
          <cell r="C349" t="str">
            <v>夜食代</v>
          </cell>
          <cell r="D349" t="str">
            <v>丸正</v>
          </cell>
          <cell r="E349">
            <v>503</v>
          </cell>
          <cell r="F349" t="str">
            <v>福利厚生費</v>
          </cell>
          <cell r="G349">
            <v>100</v>
          </cell>
          <cell r="H349" t="str">
            <v>現金</v>
          </cell>
          <cell r="J349">
            <v>3011</v>
          </cell>
          <cell r="K349">
            <v>-2179183</v>
          </cell>
        </row>
        <row r="350">
          <cell r="A350">
            <v>343</v>
          </cell>
          <cell r="B350">
            <v>35881</v>
          </cell>
          <cell r="C350" t="str">
            <v>台所洗剤</v>
          </cell>
          <cell r="D350" t="str">
            <v>BIG.1</v>
          </cell>
          <cell r="E350">
            <v>525</v>
          </cell>
          <cell r="F350" t="str">
            <v>消耗品費</v>
          </cell>
          <cell r="G350">
            <v>100</v>
          </cell>
          <cell r="H350" t="str">
            <v>現金</v>
          </cell>
          <cell r="J350">
            <v>84</v>
          </cell>
          <cell r="K350">
            <v>-2179267</v>
          </cell>
        </row>
        <row r="351">
          <cell r="A351">
            <v>344</v>
          </cell>
          <cell r="B351">
            <v>35881</v>
          </cell>
          <cell r="C351" t="str">
            <v>ＦＡＸ代　JICST宛て</v>
          </cell>
          <cell r="D351" t="str">
            <v>ローソン</v>
          </cell>
          <cell r="E351">
            <v>523</v>
          </cell>
          <cell r="F351" t="str">
            <v>通信費</v>
          </cell>
          <cell r="G351">
            <v>100</v>
          </cell>
          <cell r="H351" t="str">
            <v>現金</v>
          </cell>
          <cell r="J351">
            <v>150</v>
          </cell>
          <cell r="K351">
            <v>-2179417</v>
          </cell>
        </row>
        <row r="352">
          <cell r="A352">
            <v>345</v>
          </cell>
          <cell r="B352">
            <v>35882</v>
          </cell>
          <cell r="C352" t="str">
            <v>経営関係</v>
          </cell>
          <cell r="D352" t="str">
            <v>八重洲ブックセンター</v>
          </cell>
          <cell r="E352">
            <v>516</v>
          </cell>
          <cell r="F352" t="str">
            <v>図書研究費</v>
          </cell>
          <cell r="G352">
            <v>100</v>
          </cell>
          <cell r="H352" t="str">
            <v>現金</v>
          </cell>
          <cell r="J352">
            <v>599</v>
          </cell>
          <cell r="K352">
            <v>-2180016</v>
          </cell>
        </row>
        <row r="353">
          <cell r="A353">
            <v>346</v>
          </cell>
          <cell r="B353">
            <v>35882</v>
          </cell>
          <cell r="C353" t="str">
            <v>夜食代</v>
          </cell>
          <cell r="D353" t="str">
            <v>丸正</v>
          </cell>
          <cell r="E353">
            <v>503</v>
          </cell>
          <cell r="F353" t="str">
            <v>福利厚生費</v>
          </cell>
          <cell r="G353">
            <v>100</v>
          </cell>
          <cell r="H353" t="str">
            <v>現金</v>
          </cell>
          <cell r="J353">
            <v>1726</v>
          </cell>
          <cell r="K353">
            <v>-2181742</v>
          </cell>
        </row>
        <row r="354">
          <cell r="A354">
            <v>347</v>
          </cell>
          <cell r="B354">
            <v>35883</v>
          </cell>
          <cell r="C354" t="str">
            <v>夜食代</v>
          </cell>
          <cell r="D354" t="str">
            <v>セイフー</v>
          </cell>
          <cell r="E354">
            <v>503</v>
          </cell>
          <cell r="F354" t="str">
            <v>福利厚生費</v>
          </cell>
          <cell r="G354">
            <v>100</v>
          </cell>
          <cell r="H354" t="str">
            <v>現金</v>
          </cell>
          <cell r="J354">
            <v>2452</v>
          </cell>
          <cell r="K354">
            <v>-2184194</v>
          </cell>
        </row>
        <row r="355">
          <cell r="A355">
            <v>348</v>
          </cell>
          <cell r="B355">
            <v>35884</v>
          </cell>
          <cell r="C355" t="str">
            <v>夜食代</v>
          </cell>
          <cell r="D355" t="str">
            <v>丸正</v>
          </cell>
          <cell r="E355">
            <v>503</v>
          </cell>
          <cell r="F355" t="str">
            <v>福利厚生費</v>
          </cell>
          <cell r="G355">
            <v>100</v>
          </cell>
          <cell r="H355" t="str">
            <v>現金</v>
          </cell>
          <cell r="J355">
            <v>1659</v>
          </cell>
          <cell r="K355">
            <v>-2185853</v>
          </cell>
        </row>
        <row r="356">
          <cell r="A356">
            <v>349</v>
          </cell>
          <cell r="B356">
            <v>35884</v>
          </cell>
          <cell r="C356" t="str">
            <v>お茶代</v>
          </cell>
          <cell r="D356" t="str">
            <v>am pm</v>
          </cell>
          <cell r="E356">
            <v>503</v>
          </cell>
          <cell r="F356" t="str">
            <v>福利厚生費</v>
          </cell>
          <cell r="G356">
            <v>100</v>
          </cell>
          <cell r="H356" t="str">
            <v>現金</v>
          </cell>
          <cell r="J356">
            <v>426</v>
          </cell>
          <cell r="K356">
            <v>-2186279</v>
          </cell>
        </row>
        <row r="357">
          <cell r="A357">
            <v>350</v>
          </cell>
          <cell r="B357">
            <v>35884</v>
          </cell>
          <cell r="C357" t="str">
            <v>トイレットペーパー</v>
          </cell>
          <cell r="D357" t="str">
            <v>ニュードラッグ</v>
          </cell>
          <cell r="E357">
            <v>525</v>
          </cell>
          <cell r="F357" t="str">
            <v>消耗品費</v>
          </cell>
          <cell r="G357">
            <v>100</v>
          </cell>
          <cell r="H357" t="str">
            <v>現金</v>
          </cell>
          <cell r="J357">
            <v>730</v>
          </cell>
          <cell r="K357">
            <v>-2187009</v>
          </cell>
        </row>
        <row r="358">
          <cell r="A358">
            <v>351</v>
          </cell>
          <cell r="B358">
            <v>35884</v>
          </cell>
          <cell r="C358" t="str">
            <v>コンピュータ関係</v>
          </cell>
          <cell r="D358" t="str">
            <v>書泉グランデ</v>
          </cell>
          <cell r="E358">
            <v>516</v>
          </cell>
          <cell r="F358" t="str">
            <v>図書研究費</v>
          </cell>
          <cell r="G358">
            <v>100</v>
          </cell>
          <cell r="H358" t="str">
            <v>現金</v>
          </cell>
          <cell r="J358">
            <v>5289</v>
          </cell>
          <cell r="K358">
            <v>-2192298</v>
          </cell>
        </row>
        <row r="359">
          <cell r="A359">
            <v>352</v>
          </cell>
          <cell r="B359">
            <v>35885</v>
          </cell>
          <cell r="C359" t="str">
            <v>亀コン竹下氏・霞氏</v>
          </cell>
          <cell r="D359" t="str">
            <v>ﾊﾅｺｳｼﾞ</v>
          </cell>
          <cell r="E359">
            <v>535</v>
          </cell>
          <cell r="F359" t="str">
            <v>会議費</v>
          </cell>
          <cell r="G359">
            <v>100</v>
          </cell>
          <cell r="H359" t="str">
            <v>現金</v>
          </cell>
          <cell r="J359">
            <v>1512</v>
          </cell>
          <cell r="K359">
            <v>-2193810</v>
          </cell>
        </row>
        <row r="360">
          <cell r="A360">
            <v>353</v>
          </cell>
          <cell r="B360">
            <v>35885</v>
          </cell>
          <cell r="C360" t="str">
            <v>コンピュータ関係</v>
          </cell>
          <cell r="D360" t="str">
            <v>書泉グランデ</v>
          </cell>
          <cell r="E360">
            <v>516</v>
          </cell>
          <cell r="F360" t="str">
            <v>図書研究費</v>
          </cell>
          <cell r="G360">
            <v>100</v>
          </cell>
          <cell r="H360" t="str">
            <v>現金</v>
          </cell>
          <cell r="J360">
            <v>4469</v>
          </cell>
          <cell r="K360">
            <v>-2198279</v>
          </cell>
        </row>
        <row r="361">
          <cell r="A361">
            <v>354</v>
          </cell>
          <cell r="B361">
            <v>35885</v>
          </cell>
          <cell r="C361" t="str">
            <v>コンピュータ関係</v>
          </cell>
          <cell r="D361" t="str">
            <v>書泉グランデ</v>
          </cell>
          <cell r="E361">
            <v>516</v>
          </cell>
          <cell r="F361" t="str">
            <v>図書研究費</v>
          </cell>
          <cell r="G361">
            <v>100</v>
          </cell>
          <cell r="H361" t="str">
            <v>現金</v>
          </cell>
          <cell r="J361">
            <v>2310</v>
          </cell>
          <cell r="K361">
            <v>-2200589</v>
          </cell>
        </row>
        <row r="362">
          <cell r="A362">
            <v>355</v>
          </cell>
          <cell r="B362">
            <v>35885</v>
          </cell>
          <cell r="C362" t="str">
            <v>給料</v>
          </cell>
          <cell r="D362" t="str">
            <v>細川万紀子</v>
          </cell>
          <cell r="E362">
            <v>501</v>
          </cell>
          <cell r="F362" t="str">
            <v>給料手当</v>
          </cell>
          <cell r="G362">
            <v>100</v>
          </cell>
          <cell r="H362" t="str">
            <v>現金</v>
          </cell>
          <cell r="J362">
            <v>463070</v>
          </cell>
          <cell r="K362">
            <v>-2663659</v>
          </cell>
        </row>
        <row r="363">
          <cell r="A363">
            <v>356</v>
          </cell>
          <cell r="B363">
            <v>35885</v>
          </cell>
          <cell r="C363" t="str">
            <v>源泉所得税</v>
          </cell>
          <cell r="D363" t="str">
            <v>細川万紀子</v>
          </cell>
          <cell r="E363">
            <v>501</v>
          </cell>
          <cell r="F363" t="str">
            <v>給料手当</v>
          </cell>
          <cell r="G363">
            <v>208</v>
          </cell>
          <cell r="H363" t="str">
            <v>預り金</v>
          </cell>
          <cell r="J363">
            <v>36930</v>
          </cell>
          <cell r="K363">
            <v>-2700589</v>
          </cell>
        </row>
        <row r="364">
          <cell r="A364">
            <v>357</v>
          </cell>
          <cell r="B364">
            <v>35886</v>
          </cell>
          <cell r="C364" t="str">
            <v>夜食代</v>
          </cell>
          <cell r="D364" t="str">
            <v>丸正</v>
          </cell>
          <cell r="E364">
            <v>503</v>
          </cell>
          <cell r="F364" t="str">
            <v>福利厚生費</v>
          </cell>
          <cell r="G364">
            <v>100</v>
          </cell>
          <cell r="H364" t="str">
            <v>現金</v>
          </cell>
          <cell r="J364">
            <v>3012</v>
          </cell>
          <cell r="K364">
            <v>-2703601</v>
          </cell>
        </row>
        <row r="365">
          <cell r="A365">
            <v>358</v>
          </cell>
          <cell r="B365">
            <v>35886</v>
          </cell>
          <cell r="C365" t="str">
            <v>お茶代</v>
          </cell>
          <cell r="D365" t="str">
            <v>ファミリーマート</v>
          </cell>
          <cell r="E365">
            <v>503</v>
          </cell>
          <cell r="F365" t="str">
            <v>福利厚生費</v>
          </cell>
          <cell r="G365">
            <v>100</v>
          </cell>
          <cell r="H365" t="str">
            <v>現金</v>
          </cell>
          <cell r="J365">
            <v>896</v>
          </cell>
          <cell r="K365">
            <v>-2704497</v>
          </cell>
        </row>
        <row r="366">
          <cell r="A366">
            <v>359</v>
          </cell>
          <cell r="B366">
            <v>35886</v>
          </cell>
          <cell r="C366" t="str">
            <v>亀コン永田氏</v>
          </cell>
          <cell r="D366" t="str">
            <v>フレッシュネスバーガー</v>
          </cell>
          <cell r="E366">
            <v>535</v>
          </cell>
          <cell r="F366" t="str">
            <v>会議費</v>
          </cell>
          <cell r="G366">
            <v>100</v>
          </cell>
          <cell r="H366" t="str">
            <v>現金</v>
          </cell>
          <cell r="J366">
            <v>514</v>
          </cell>
          <cell r="K366">
            <v>-2705011</v>
          </cell>
        </row>
        <row r="367">
          <cell r="A367">
            <v>360</v>
          </cell>
          <cell r="B367">
            <v>35887</v>
          </cell>
          <cell r="C367" t="str">
            <v>電卓・シャーペン芯</v>
          </cell>
          <cell r="D367" t="str">
            <v>ローソン</v>
          </cell>
          <cell r="E367">
            <v>524</v>
          </cell>
          <cell r="F367" t="str">
            <v>事務消耗品費</v>
          </cell>
          <cell r="G367">
            <v>100</v>
          </cell>
          <cell r="H367" t="str">
            <v>現金</v>
          </cell>
          <cell r="J367">
            <v>1029</v>
          </cell>
          <cell r="K367">
            <v>-2706040</v>
          </cell>
        </row>
        <row r="368">
          <cell r="A368">
            <v>361</v>
          </cell>
          <cell r="B368">
            <v>35887</v>
          </cell>
          <cell r="C368" t="str">
            <v>お菓子代</v>
          </cell>
          <cell r="D368" t="str">
            <v>ファミリーマート</v>
          </cell>
          <cell r="E368">
            <v>503</v>
          </cell>
          <cell r="F368" t="str">
            <v>福利厚生費</v>
          </cell>
          <cell r="G368">
            <v>100</v>
          </cell>
          <cell r="H368" t="str">
            <v>現金</v>
          </cell>
          <cell r="J368">
            <v>197</v>
          </cell>
          <cell r="K368">
            <v>-2706237</v>
          </cell>
        </row>
        <row r="369">
          <cell r="A369">
            <v>362</v>
          </cell>
          <cell r="B369">
            <v>35888</v>
          </cell>
          <cell r="C369" t="str">
            <v>昼食代</v>
          </cell>
          <cell r="D369" t="str">
            <v>丸正</v>
          </cell>
          <cell r="E369">
            <v>503</v>
          </cell>
          <cell r="F369" t="str">
            <v>福利厚生費</v>
          </cell>
          <cell r="G369">
            <v>100</v>
          </cell>
          <cell r="H369" t="str">
            <v>現金</v>
          </cell>
          <cell r="J369">
            <v>1923</v>
          </cell>
          <cell r="K369">
            <v>-2708160</v>
          </cell>
        </row>
        <row r="370">
          <cell r="A370">
            <v>363</v>
          </cell>
          <cell r="B370">
            <v>35888</v>
          </cell>
          <cell r="C370" t="str">
            <v>会計顧問報酬(3月分)</v>
          </cell>
          <cell r="D370" t="str">
            <v>中川会計事務所</v>
          </cell>
          <cell r="E370">
            <v>537</v>
          </cell>
          <cell r="F370" t="str">
            <v>顧問報酬</v>
          </cell>
          <cell r="G370">
            <v>100</v>
          </cell>
          <cell r="H370" t="str">
            <v>現金</v>
          </cell>
          <cell r="J370">
            <v>14250</v>
          </cell>
          <cell r="K370">
            <v>-2722410</v>
          </cell>
        </row>
        <row r="371">
          <cell r="A371">
            <v>364</v>
          </cell>
          <cell r="B371">
            <v>35888</v>
          </cell>
          <cell r="C371" t="str">
            <v>源泉所得税</v>
          </cell>
          <cell r="D371" t="str">
            <v>中川会計事務所</v>
          </cell>
          <cell r="E371">
            <v>537</v>
          </cell>
          <cell r="F371" t="str">
            <v>顧問報酬</v>
          </cell>
          <cell r="G371">
            <v>208</v>
          </cell>
          <cell r="H371" t="str">
            <v>預り金</v>
          </cell>
          <cell r="J371">
            <v>1500</v>
          </cell>
          <cell r="K371">
            <v>-2723910</v>
          </cell>
        </row>
        <row r="372">
          <cell r="A372">
            <v>365</v>
          </cell>
          <cell r="B372">
            <v>35888</v>
          </cell>
          <cell r="C372" t="str">
            <v>外注費</v>
          </cell>
          <cell r="D372" t="str">
            <v>山口 正則</v>
          </cell>
          <cell r="E372">
            <v>201</v>
          </cell>
          <cell r="F372" t="str">
            <v>買掛金</v>
          </cell>
          <cell r="G372">
            <v>114</v>
          </cell>
          <cell r="H372" t="str">
            <v>普通預金</v>
          </cell>
          <cell r="J372">
            <v>360000</v>
          </cell>
          <cell r="K372">
            <v>-3083910</v>
          </cell>
        </row>
        <row r="373">
          <cell r="A373">
            <v>366</v>
          </cell>
          <cell r="B373">
            <v>35888</v>
          </cell>
          <cell r="C373" t="str">
            <v>源泉所得税</v>
          </cell>
          <cell r="D373" t="str">
            <v>山口 正則</v>
          </cell>
          <cell r="E373">
            <v>201</v>
          </cell>
          <cell r="F373" t="str">
            <v>買掛金</v>
          </cell>
          <cell r="G373">
            <v>208</v>
          </cell>
          <cell r="H373" t="str">
            <v>預り金</v>
          </cell>
          <cell r="J373">
            <v>40000</v>
          </cell>
          <cell r="K373">
            <v>-3123910</v>
          </cell>
        </row>
        <row r="374">
          <cell r="A374">
            <v>367</v>
          </cell>
          <cell r="B374">
            <v>35888</v>
          </cell>
          <cell r="C374" t="str">
            <v>支払手数料</v>
          </cell>
          <cell r="D374" t="str">
            <v>東京三菱 Ｂ／Ｋ</v>
          </cell>
          <cell r="E374">
            <v>512</v>
          </cell>
          <cell r="F374" t="str">
            <v>支払手数料</v>
          </cell>
          <cell r="G374">
            <v>114</v>
          </cell>
          <cell r="H374" t="str">
            <v>普通預金</v>
          </cell>
          <cell r="J374">
            <v>472</v>
          </cell>
          <cell r="K374">
            <v>-3124382</v>
          </cell>
        </row>
        <row r="375">
          <cell r="A375">
            <v>368</v>
          </cell>
          <cell r="B375">
            <v>35889</v>
          </cell>
          <cell r="C375" t="str">
            <v>コンピュータ雑誌</v>
          </cell>
          <cell r="D375" t="str">
            <v>あおい書店</v>
          </cell>
          <cell r="E375">
            <v>516</v>
          </cell>
          <cell r="F375" t="str">
            <v>図書研究費</v>
          </cell>
          <cell r="G375">
            <v>100</v>
          </cell>
          <cell r="H375" t="str">
            <v>現金</v>
          </cell>
          <cell r="J375">
            <v>250</v>
          </cell>
          <cell r="K375">
            <v>-3124632</v>
          </cell>
        </row>
        <row r="376">
          <cell r="A376">
            <v>369</v>
          </cell>
          <cell r="B376">
            <v>35889</v>
          </cell>
          <cell r="C376" t="str">
            <v>夜食代</v>
          </cell>
          <cell r="D376" t="str">
            <v>丸正</v>
          </cell>
          <cell r="E376">
            <v>503</v>
          </cell>
          <cell r="F376" t="str">
            <v>福利厚生費</v>
          </cell>
          <cell r="G376">
            <v>100</v>
          </cell>
          <cell r="H376" t="str">
            <v>現金</v>
          </cell>
          <cell r="J376">
            <v>1346</v>
          </cell>
          <cell r="K376">
            <v>-3125978</v>
          </cell>
        </row>
        <row r="377">
          <cell r="A377">
            <v>370</v>
          </cell>
          <cell r="B377">
            <v>35889</v>
          </cell>
          <cell r="C377" t="str">
            <v>夜食代</v>
          </cell>
          <cell r="E377">
            <v>503</v>
          </cell>
          <cell r="F377" t="str">
            <v>福利厚生費</v>
          </cell>
          <cell r="G377">
            <v>100</v>
          </cell>
          <cell r="H377" t="str">
            <v>現金</v>
          </cell>
          <cell r="J377">
            <v>388</v>
          </cell>
          <cell r="K377">
            <v>-3126366</v>
          </cell>
        </row>
        <row r="378">
          <cell r="A378">
            <v>371</v>
          </cell>
          <cell r="B378">
            <v>35890</v>
          </cell>
          <cell r="C378" t="str">
            <v>夜食代</v>
          </cell>
          <cell r="D378" t="str">
            <v>オリジン弁当</v>
          </cell>
          <cell r="E378">
            <v>503</v>
          </cell>
          <cell r="F378" t="str">
            <v>福利厚生費</v>
          </cell>
          <cell r="G378">
            <v>100</v>
          </cell>
          <cell r="H378" t="str">
            <v>現金</v>
          </cell>
          <cell r="J378">
            <v>1186</v>
          </cell>
          <cell r="K378">
            <v>-3127552</v>
          </cell>
        </row>
        <row r="379">
          <cell r="A379">
            <v>372</v>
          </cell>
          <cell r="B379">
            <v>35890</v>
          </cell>
          <cell r="C379" t="str">
            <v>夜食代</v>
          </cell>
          <cell r="D379" t="str">
            <v>オリジン弁当</v>
          </cell>
          <cell r="E379">
            <v>503</v>
          </cell>
          <cell r="F379" t="str">
            <v>福利厚生費</v>
          </cell>
          <cell r="G379">
            <v>100</v>
          </cell>
          <cell r="H379" t="str">
            <v>現金</v>
          </cell>
          <cell r="J379">
            <v>393</v>
          </cell>
          <cell r="K379">
            <v>-3127945</v>
          </cell>
        </row>
        <row r="380">
          <cell r="A380">
            <v>373</v>
          </cell>
          <cell r="B380">
            <v>35890</v>
          </cell>
          <cell r="C380" t="str">
            <v>コンピュータ関係</v>
          </cell>
          <cell r="D380" t="str">
            <v>ビックパソコン館</v>
          </cell>
          <cell r="E380">
            <v>516</v>
          </cell>
          <cell r="F380" t="str">
            <v>図書研究費</v>
          </cell>
          <cell r="G380">
            <v>100</v>
          </cell>
          <cell r="H380" t="str">
            <v>現金</v>
          </cell>
          <cell r="J380">
            <v>3990</v>
          </cell>
          <cell r="K380">
            <v>-3131935</v>
          </cell>
        </row>
        <row r="381">
          <cell r="A381">
            <v>374</v>
          </cell>
          <cell r="B381">
            <v>35890</v>
          </cell>
          <cell r="C381" t="str">
            <v>プリンター</v>
          </cell>
          <cell r="D381" t="str">
            <v>ビックパソコン館</v>
          </cell>
          <cell r="E381">
            <v>550</v>
          </cell>
          <cell r="F381" t="str">
            <v>器具・備品</v>
          </cell>
          <cell r="G381">
            <v>100</v>
          </cell>
          <cell r="H381" t="str">
            <v>現金</v>
          </cell>
          <cell r="J381">
            <v>106764</v>
          </cell>
          <cell r="K381">
            <v>-3238699</v>
          </cell>
        </row>
        <row r="382">
          <cell r="A382">
            <v>375</v>
          </cell>
          <cell r="B382">
            <v>35890</v>
          </cell>
          <cell r="C382" t="str">
            <v>コンピュータソフト</v>
          </cell>
          <cell r="D382" t="str">
            <v>ビックパソコン館</v>
          </cell>
          <cell r="E382">
            <v>516</v>
          </cell>
          <cell r="F382" t="str">
            <v>図書研究費</v>
          </cell>
          <cell r="G382">
            <v>100</v>
          </cell>
          <cell r="H382" t="str">
            <v>現金</v>
          </cell>
          <cell r="J382">
            <v>9429</v>
          </cell>
          <cell r="K382">
            <v>-3248128</v>
          </cell>
        </row>
        <row r="383">
          <cell r="A383">
            <v>376</v>
          </cell>
          <cell r="B383">
            <v>35891</v>
          </cell>
          <cell r="C383" t="str">
            <v>コピー用紙代</v>
          </cell>
          <cell r="D383" t="str">
            <v>キャノンゼロワンショップ</v>
          </cell>
          <cell r="E383">
            <v>524</v>
          </cell>
          <cell r="F383" t="str">
            <v>事務消耗品費</v>
          </cell>
          <cell r="G383">
            <v>100</v>
          </cell>
          <cell r="H383" t="str">
            <v>現金</v>
          </cell>
          <cell r="J383">
            <v>1207</v>
          </cell>
          <cell r="K383">
            <v>-3249335</v>
          </cell>
        </row>
        <row r="384">
          <cell r="A384">
            <v>377</v>
          </cell>
          <cell r="B384">
            <v>35891</v>
          </cell>
          <cell r="C384" t="str">
            <v>お茶代</v>
          </cell>
          <cell r="D384" t="str">
            <v>サンクス</v>
          </cell>
          <cell r="E384">
            <v>503</v>
          </cell>
          <cell r="F384" t="str">
            <v>福利厚生費</v>
          </cell>
          <cell r="G384">
            <v>100</v>
          </cell>
          <cell r="H384" t="str">
            <v>現金</v>
          </cell>
          <cell r="J384">
            <v>640</v>
          </cell>
          <cell r="K384">
            <v>-3249975</v>
          </cell>
        </row>
        <row r="385">
          <cell r="A385">
            <v>378</v>
          </cell>
          <cell r="B385">
            <v>35891</v>
          </cell>
          <cell r="C385" t="str">
            <v>亀コン竹下氏</v>
          </cell>
          <cell r="D385" t="str">
            <v>カフェイヴェール</v>
          </cell>
          <cell r="E385">
            <v>535</v>
          </cell>
          <cell r="F385" t="str">
            <v>会議費</v>
          </cell>
          <cell r="G385">
            <v>100</v>
          </cell>
          <cell r="H385" t="str">
            <v>現金</v>
          </cell>
          <cell r="J385">
            <v>1627</v>
          </cell>
          <cell r="K385">
            <v>-3251602</v>
          </cell>
        </row>
        <row r="386">
          <cell r="A386">
            <v>379</v>
          </cell>
          <cell r="B386">
            <v>35891</v>
          </cell>
          <cell r="C386" t="str">
            <v>外注費</v>
          </cell>
          <cell r="D386" t="str">
            <v>永田 浩一</v>
          </cell>
          <cell r="E386">
            <v>201</v>
          </cell>
          <cell r="F386" t="str">
            <v>買掛金</v>
          </cell>
          <cell r="G386">
            <v>114</v>
          </cell>
          <cell r="H386" t="str">
            <v>普通預金</v>
          </cell>
          <cell r="J386">
            <v>900000</v>
          </cell>
          <cell r="K386">
            <v>-4151602</v>
          </cell>
        </row>
        <row r="387">
          <cell r="A387">
            <v>380</v>
          </cell>
          <cell r="B387">
            <v>35891</v>
          </cell>
          <cell r="C387" t="str">
            <v>源泉所得税</v>
          </cell>
          <cell r="D387" t="str">
            <v>永田 浩一</v>
          </cell>
          <cell r="E387">
            <v>201</v>
          </cell>
          <cell r="F387" t="str">
            <v>買掛金</v>
          </cell>
          <cell r="G387">
            <v>208</v>
          </cell>
          <cell r="H387" t="str">
            <v>預り金</v>
          </cell>
          <cell r="J387">
            <v>100000</v>
          </cell>
          <cell r="K387">
            <v>-4251602</v>
          </cell>
        </row>
        <row r="388">
          <cell r="A388">
            <v>381</v>
          </cell>
          <cell r="B388">
            <v>35892</v>
          </cell>
          <cell r="C388" t="str">
            <v>コンピュータ関係</v>
          </cell>
          <cell r="D388" t="str">
            <v>書泉グランデ</v>
          </cell>
          <cell r="E388">
            <v>516</v>
          </cell>
          <cell r="F388" t="str">
            <v>図書研究費</v>
          </cell>
          <cell r="G388">
            <v>100</v>
          </cell>
          <cell r="H388" t="str">
            <v>現金</v>
          </cell>
          <cell r="J388">
            <v>1344</v>
          </cell>
          <cell r="K388">
            <v>-4252946</v>
          </cell>
        </row>
        <row r="389">
          <cell r="A389">
            <v>382</v>
          </cell>
          <cell r="B389">
            <v>35892</v>
          </cell>
          <cell r="C389" t="str">
            <v>コンピュータ関係</v>
          </cell>
          <cell r="D389" t="str">
            <v>書泉グランデ</v>
          </cell>
          <cell r="E389">
            <v>516</v>
          </cell>
          <cell r="F389" t="str">
            <v>図書研究費</v>
          </cell>
          <cell r="G389">
            <v>100</v>
          </cell>
          <cell r="H389" t="str">
            <v>現金</v>
          </cell>
          <cell r="J389">
            <v>11060</v>
          </cell>
          <cell r="K389">
            <v>-4264006</v>
          </cell>
        </row>
        <row r="390">
          <cell r="A390">
            <v>383</v>
          </cell>
          <cell r="B390">
            <v>35892</v>
          </cell>
          <cell r="C390" t="str">
            <v>亀コン竹下氏</v>
          </cell>
          <cell r="D390" t="str">
            <v>ＰＲＯＮＴ</v>
          </cell>
          <cell r="E390">
            <v>535</v>
          </cell>
          <cell r="F390" t="str">
            <v>会議費</v>
          </cell>
          <cell r="G390">
            <v>100</v>
          </cell>
          <cell r="H390" t="str">
            <v>現金</v>
          </cell>
          <cell r="J390">
            <v>462</v>
          </cell>
          <cell r="K390">
            <v>-4264468</v>
          </cell>
        </row>
        <row r="391">
          <cell r="A391">
            <v>384</v>
          </cell>
          <cell r="B391">
            <v>35892</v>
          </cell>
          <cell r="C391" t="str">
            <v>お菓子代</v>
          </cell>
          <cell r="D391" t="str">
            <v>丸正</v>
          </cell>
          <cell r="E391">
            <v>503</v>
          </cell>
          <cell r="F391" t="str">
            <v>福利厚生費</v>
          </cell>
          <cell r="G391">
            <v>100</v>
          </cell>
          <cell r="H391" t="str">
            <v>現金</v>
          </cell>
          <cell r="J391">
            <v>911</v>
          </cell>
          <cell r="K391">
            <v>-4265379</v>
          </cell>
        </row>
        <row r="392">
          <cell r="A392">
            <v>385</v>
          </cell>
          <cell r="B392">
            <v>35892</v>
          </cell>
          <cell r="C392" t="str">
            <v>亀コン永田氏・霞氏</v>
          </cell>
          <cell r="D392" t="str">
            <v>魚民</v>
          </cell>
          <cell r="E392">
            <v>535</v>
          </cell>
          <cell r="F392" t="str">
            <v>会議費</v>
          </cell>
          <cell r="G392">
            <v>100</v>
          </cell>
          <cell r="H392" t="str">
            <v>現金</v>
          </cell>
          <cell r="J392">
            <v>4326</v>
          </cell>
          <cell r="K392">
            <v>-4269705</v>
          </cell>
        </row>
        <row r="393">
          <cell r="A393">
            <v>386</v>
          </cell>
          <cell r="B393">
            <v>35893</v>
          </cell>
          <cell r="C393" t="str">
            <v>亀コン霞氏</v>
          </cell>
          <cell r="E393">
            <v>535</v>
          </cell>
          <cell r="F393" t="str">
            <v>会議費</v>
          </cell>
          <cell r="G393">
            <v>100</v>
          </cell>
          <cell r="H393" t="str">
            <v>現金</v>
          </cell>
          <cell r="J393">
            <v>336</v>
          </cell>
          <cell r="K393">
            <v>-4270041</v>
          </cell>
        </row>
        <row r="394">
          <cell r="A394">
            <v>387</v>
          </cell>
          <cell r="B394">
            <v>35893</v>
          </cell>
          <cell r="C394" t="str">
            <v>亀コン霞氏</v>
          </cell>
          <cell r="D394" t="str">
            <v>ル・ブランヌ</v>
          </cell>
          <cell r="E394">
            <v>535</v>
          </cell>
          <cell r="F394" t="str">
            <v>会議費</v>
          </cell>
          <cell r="G394">
            <v>100</v>
          </cell>
          <cell r="H394" t="str">
            <v>現金</v>
          </cell>
          <cell r="J394">
            <v>3200</v>
          </cell>
          <cell r="K394">
            <v>-4273241</v>
          </cell>
        </row>
        <row r="395">
          <cell r="A395">
            <v>388</v>
          </cell>
          <cell r="B395">
            <v>35894</v>
          </cell>
          <cell r="C395" t="str">
            <v>お菓子代</v>
          </cell>
          <cell r="D395" t="str">
            <v>ファミリーマート</v>
          </cell>
          <cell r="E395">
            <v>503</v>
          </cell>
          <cell r="F395" t="str">
            <v>福利厚生費</v>
          </cell>
          <cell r="G395">
            <v>100</v>
          </cell>
          <cell r="H395" t="str">
            <v>現金</v>
          </cell>
          <cell r="J395">
            <v>602</v>
          </cell>
          <cell r="K395">
            <v>-4273843</v>
          </cell>
        </row>
        <row r="396">
          <cell r="A396">
            <v>389</v>
          </cell>
          <cell r="B396">
            <v>35894</v>
          </cell>
          <cell r="C396" t="str">
            <v>夜食代</v>
          </cell>
          <cell r="D396" t="str">
            <v>丸正</v>
          </cell>
          <cell r="E396">
            <v>503</v>
          </cell>
          <cell r="F396" t="str">
            <v>福利厚生費</v>
          </cell>
          <cell r="G396">
            <v>100</v>
          </cell>
          <cell r="H396" t="str">
            <v>現金</v>
          </cell>
          <cell r="J396">
            <v>2870</v>
          </cell>
          <cell r="K396">
            <v>-4276713</v>
          </cell>
        </row>
        <row r="397">
          <cell r="A397">
            <v>390</v>
          </cell>
          <cell r="B397">
            <v>35895</v>
          </cell>
          <cell r="C397" t="str">
            <v>茶菓子代</v>
          </cell>
          <cell r="D397" t="str">
            <v>伊勢丹</v>
          </cell>
          <cell r="E397">
            <v>503</v>
          </cell>
          <cell r="F397" t="str">
            <v>福利厚生費</v>
          </cell>
          <cell r="G397">
            <v>100</v>
          </cell>
          <cell r="H397" t="str">
            <v>現金</v>
          </cell>
          <cell r="J397">
            <v>459</v>
          </cell>
          <cell r="K397">
            <v>-4277172</v>
          </cell>
        </row>
        <row r="398">
          <cell r="A398">
            <v>391</v>
          </cell>
          <cell r="B398">
            <v>35895</v>
          </cell>
          <cell r="C398" t="str">
            <v>お茶代</v>
          </cell>
          <cell r="D398" t="str">
            <v>ローソン</v>
          </cell>
          <cell r="E398">
            <v>503</v>
          </cell>
          <cell r="F398" t="str">
            <v>福利厚生費</v>
          </cell>
          <cell r="G398">
            <v>100</v>
          </cell>
          <cell r="H398" t="str">
            <v>現金</v>
          </cell>
          <cell r="J398">
            <v>281</v>
          </cell>
          <cell r="K398">
            <v>-4277453</v>
          </cell>
        </row>
        <row r="399">
          <cell r="A399">
            <v>392</v>
          </cell>
          <cell r="B399">
            <v>35895</v>
          </cell>
          <cell r="C399" t="str">
            <v>コンピュータ関係</v>
          </cell>
          <cell r="D399" t="str">
            <v>あおい書店</v>
          </cell>
          <cell r="E399">
            <v>516</v>
          </cell>
          <cell r="F399" t="str">
            <v>図書研究費</v>
          </cell>
          <cell r="G399">
            <v>100</v>
          </cell>
          <cell r="H399" t="str">
            <v>現金</v>
          </cell>
          <cell r="J399">
            <v>1223</v>
          </cell>
          <cell r="K399">
            <v>-4278676</v>
          </cell>
        </row>
        <row r="400">
          <cell r="A400">
            <v>393</v>
          </cell>
          <cell r="B400">
            <v>35896</v>
          </cell>
          <cell r="C400" t="str">
            <v>お茶代</v>
          </cell>
          <cell r="D400" t="str">
            <v>am pm</v>
          </cell>
          <cell r="E400">
            <v>503</v>
          </cell>
          <cell r="F400" t="str">
            <v>福利厚生費</v>
          </cell>
          <cell r="G400">
            <v>100</v>
          </cell>
          <cell r="H400" t="str">
            <v>現金</v>
          </cell>
          <cell r="J400">
            <v>795</v>
          </cell>
          <cell r="K400">
            <v>-4279471</v>
          </cell>
        </row>
        <row r="401">
          <cell r="A401">
            <v>394</v>
          </cell>
          <cell r="B401">
            <v>35896</v>
          </cell>
          <cell r="C401" t="str">
            <v>コンピュータ雑誌・新聞</v>
          </cell>
          <cell r="D401" t="str">
            <v>am pm</v>
          </cell>
          <cell r="E401">
            <v>516</v>
          </cell>
          <cell r="F401" t="str">
            <v>図書研究費</v>
          </cell>
          <cell r="G401">
            <v>100</v>
          </cell>
          <cell r="H401" t="str">
            <v>現金</v>
          </cell>
          <cell r="J401">
            <v>1690</v>
          </cell>
          <cell r="K401">
            <v>-4281161</v>
          </cell>
        </row>
        <row r="402">
          <cell r="A402">
            <v>395</v>
          </cell>
          <cell r="B402">
            <v>35896</v>
          </cell>
          <cell r="C402" t="str">
            <v>コンピュータ雑誌</v>
          </cell>
          <cell r="D402" t="str">
            <v>ローソン</v>
          </cell>
          <cell r="E402">
            <v>516</v>
          </cell>
          <cell r="F402" t="str">
            <v>図書研究費</v>
          </cell>
          <cell r="G402">
            <v>100</v>
          </cell>
          <cell r="H402" t="str">
            <v>現金</v>
          </cell>
          <cell r="J402">
            <v>380</v>
          </cell>
          <cell r="K402">
            <v>-4281541</v>
          </cell>
        </row>
        <row r="403">
          <cell r="A403">
            <v>396</v>
          </cell>
          <cell r="B403">
            <v>35896</v>
          </cell>
          <cell r="C403" t="str">
            <v>亀コン竹下氏</v>
          </cell>
          <cell r="D403" t="str">
            <v>ベローチェ</v>
          </cell>
          <cell r="E403">
            <v>535</v>
          </cell>
          <cell r="F403" t="str">
            <v>会議費</v>
          </cell>
          <cell r="G403">
            <v>100</v>
          </cell>
          <cell r="H403" t="str">
            <v>現金</v>
          </cell>
          <cell r="J403">
            <v>766</v>
          </cell>
          <cell r="K403">
            <v>-4282307</v>
          </cell>
        </row>
        <row r="404">
          <cell r="A404">
            <v>397</v>
          </cell>
          <cell r="B404">
            <v>35896</v>
          </cell>
          <cell r="C404" t="str">
            <v>夜食代</v>
          </cell>
          <cell r="D404" t="str">
            <v>ローソン</v>
          </cell>
          <cell r="E404">
            <v>503</v>
          </cell>
          <cell r="F404" t="str">
            <v>福利厚生費</v>
          </cell>
          <cell r="G404">
            <v>100</v>
          </cell>
          <cell r="H404" t="str">
            <v>現金</v>
          </cell>
          <cell r="J404">
            <v>1746</v>
          </cell>
          <cell r="K404">
            <v>-4284053</v>
          </cell>
        </row>
        <row r="405">
          <cell r="A405">
            <v>398</v>
          </cell>
          <cell r="B405">
            <v>35896</v>
          </cell>
          <cell r="C405" t="str">
            <v>コンピュータソフト</v>
          </cell>
          <cell r="D405" t="str">
            <v>ビックパソコン館</v>
          </cell>
          <cell r="E405">
            <v>516</v>
          </cell>
          <cell r="F405" t="str">
            <v>図書研究費</v>
          </cell>
          <cell r="G405">
            <v>100</v>
          </cell>
          <cell r="H405" t="str">
            <v>現金</v>
          </cell>
          <cell r="J405">
            <v>3187</v>
          </cell>
          <cell r="K405">
            <v>-4287240</v>
          </cell>
        </row>
        <row r="406">
          <cell r="A406">
            <v>399</v>
          </cell>
          <cell r="B406">
            <v>35897</v>
          </cell>
          <cell r="C406" t="str">
            <v>コンピュータ関係</v>
          </cell>
          <cell r="D406" t="str">
            <v>あおい書店</v>
          </cell>
          <cell r="E406">
            <v>516</v>
          </cell>
          <cell r="F406" t="str">
            <v>図書研究費</v>
          </cell>
          <cell r="G406">
            <v>100</v>
          </cell>
          <cell r="H406" t="str">
            <v>現金</v>
          </cell>
          <cell r="J406">
            <v>1020</v>
          </cell>
          <cell r="K406">
            <v>-4288260</v>
          </cell>
        </row>
        <row r="407">
          <cell r="A407">
            <v>400</v>
          </cell>
          <cell r="B407">
            <v>35897</v>
          </cell>
          <cell r="C407" t="str">
            <v>亀コン永田氏</v>
          </cell>
          <cell r="D407" t="str">
            <v>くいしんぼ</v>
          </cell>
          <cell r="E407">
            <v>535</v>
          </cell>
          <cell r="F407" t="str">
            <v>会議費</v>
          </cell>
          <cell r="G407">
            <v>100</v>
          </cell>
          <cell r="H407" t="str">
            <v>現金</v>
          </cell>
          <cell r="J407">
            <v>4452</v>
          </cell>
          <cell r="K407">
            <v>-4292712</v>
          </cell>
        </row>
        <row r="408">
          <cell r="A408">
            <v>401</v>
          </cell>
          <cell r="B408">
            <v>35897</v>
          </cell>
          <cell r="C408" t="str">
            <v>亀コン永田氏</v>
          </cell>
          <cell r="D408" t="str">
            <v>デニーズ</v>
          </cell>
          <cell r="E408">
            <v>535</v>
          </cell>
          <cell r="F408" t="str">
            <v>会議費</v>
          </cell>
          <cell r="G408">
            <v>100</v>
          </cell>
          <cell r="H408" t="str">
            <v>現金</v>
          </cell>
          <cell r="J408">
            <v>3511</v>
          </cell>
          <cell r="K408">
            <v>-4296223</v>
          </cell>
        </row>
        <row r="409">
          <cell r="A409">
            <v>402</v>
          </cell>
          <cell r="B409">
            <v>35898</v>
          </cell>
          <cell r="C409" t="str">
            <v>お茶代</v>
          </cell>
          <cell r="D409" t="str">
            <v>ファミリーマート</v>
          </cell>
          <cell r="E409">
            <v>503</v>
          </cell>
          <cell r="F409" t="str">
            <v>福利厚生費</v>
          </cell>
          <cell r="G409">
            <v>100</v>
          </cell>
          <cell r="H409" t="str">
            <v>現金</v>
          </cell>
          <cell r="J409">
            <v>354</v>
          </cell>
          <cell r="K409">
            <v>-4296577</v>
          </cell>
        </row>
        <row r="410">
          <cell r="A410">
            <v>403</v>
          </cell>
          <cell r="B410">
            <v>35898</v>
          </cell>
          <cell r="C410" t="str">
            <v>亀コン霞氏</v>
          </cell>
          <cell r="D410" t="str">
            <v>ジョナサン</v>
          </cell>
          <cell r="E410">
            <v>535</v>
          </cell>
          <cell r="F410" t="str">
            <v>会議費</v>
          </cell>
          <cell r="G410">
            <v>100</v>
          </cell>
          <cell r="H410" t="str">
            <v>現金</v>
          </cell>
          <cell r="J410">
            <v>1686</v>
          </cell>
          <cell r="K410">
            <v>-4298263</v>
          </cell>
        </row>
        <row r="411">
          <cell r="A411">
            <v>404</v>
          </cell>
          <cell r="B411">
            <v>35898</v>
          </cell>
          <cell r="C411" t="str">
            <v>パソコン台</v>
          </cell>
          <cell r="D411" t="str">
            <v>岡田商会</v>
          </cell>
          <cell r="E411">
            <v>525</v>
          </cell>
          <cell r="F411" t="str">
            <v>消耗品費</v>
          </cell>
          <cell r="G411">
            <v>100</v>
          </cell>
          <cell r="H411" t="str">
            <v>現金</v>
          </cell>
          <cell r="J411">
            <v>23835</v>
          </cell>
          <cell r="K411">
            <v>-4322098</v>
          </cell>
        </row>
        <row r="412">
          <cell r="A412">
            <v>405</v>
          </cell>
          <cell r="B412">
            <v>35898</v>
          </cell>
          <cell r="C412" t="str">
            <v>パソコン</v>
          </cell>
          <cell r="D412" t="str">
            <v>ザ・コンピュータ館</v>
          </cell>
          <cell r="E412">
            <v>550</v>
          </cell>
          <cell r="F412" t="str">
            <v>器具・備品</v>
          </cell>
          <cell r="G412">
            <v>100</v>
          </cell>
          <cell r="H412" t="str">
            <v>現金</v>
          </cell>
          <cell r="J412">
            <v>243810</v>
          </cell>
          <cell r="K412">
            <v>-4565908</v>
          </cell>
        </row>
        <row r="413">
          <cell r="A413">
            <v>406</v>
          </cell>
          <cell r="B413">
            <v>35899</v>
          </cell>
          <cell r="C413" t="str">
            <v>夜食代</v>
          </cell>
          <cell r="D413" t="str">
            <v>茶月</v>
          </cell>
          <cell r="E413">
            <v>503</v>
          </cell>
          <cell r="F413" t="str">
            <v>福利厚生費</v>
          </cell>
          <cell r="G413">
            <v>100</v>
          </cell>
          <cell r="H413" t="str">
            <v>現金</v>
          </cell>
          <cell r="J413">
            <v>819</v>
          </cell>
          <cell r="K413">
            <v>-4566727</v>
          </cell>
        </row>
        <row r="414">
          <cell r="A414">
            <v>407</v>
          </cell>
          <cell r="B414">
            <v>35899</v>
          </cell>
          <cell r="C414" t="str">
            <v>夜食代</v>
          </cell>
          <cell r="D414" t="str">
            <v>ボンデセール</v>
          </cell>
          <cell r="E414">
            <v>503</v>
          </cell>
          <cell r="F414" t="str">
            <v>福利厚生費</v>
          </cell>
          <cell r="G414">
            <v>100</v>
          </cell>
          <cell r="H414" t="str">
            <v>現金</v>
          </cell>
          <cell r="J414">
            <v>493</v>
          </cell>
          <cell r="K414">
            <v>-4567220</v>
          </cell>
        </row>
        <row r="415">
          <cell r="A415">
            <v>408</v>
          </cell>
          <cell r="B415">
            <v>35899</v>
          </cell>
          <cell r="C415" t="str">
            <v>お茶代</v>
          </cell>
          <cell r="D415" t="str">
            <v>ローソン</v>
          </cell>
          <cell r="E415">
            <v>503</v>
          </cell>
          <cell r="F415" t="str">
            <v>福利厚生費</v>
          </cell>
          <cell r="G415">
            <v>100</v>
          </cell>
          <cell r="H415" t="str">
            <v>現金</v>
          </cell>
          <cell r="J415">
            <v>417</v>
          </cell>
          <cell r="K415">
            <v>-4567637</v>
          </cell>
        </row>
        <row r="416">
          <cell r="A416">
            <v>409</v>
          </cell>
          <cell r="B416">
            <v>35899</v>
          </cell>
          <cell r="C416" t="str">
            <v>コンピュータ雑誌</v>
          </cell>
          <cell r="D416" t="str">
            <v>ブックバーン</v>
          </cell>
          <cell r="E416">
            <v>516</v>
          </cell>
          <cell r="F416" t="str">
            <v>図書研究費</v>
          </cell>
          <cell r="G416">
            <v>100</v>
          </cell>
          <cell r="H416" t="str">
            <v>現金</v>
          </cell>
          <cell r="J416">
            <v>1580</v>
          </cell>
          <cell r="K416">
            <v>-4569217</v>
          </cell>
        </row>
        <row r="417">
          <cell r="A417">
            <v>410</v>
          </cell>
          <cell r="B417">
            <v>35900</v>
          </cell>
          <cell r="C417" t="str">
            <v>タクシー代</v>
          </cell>
          <cell r="D417" t="str">
            <v>日停モータース</v>
          </cell>
          <cell r="E417">
            <v>522</v>
          </cell>
          <cell r="F417" t="str">
            <v>旅費交通費</v>
          </cell>
          <cell r="G417">
            <v>100</v>
          </cell>
          <cell r="H417" t="str">
            <v>現金</v>
          </cell>
          <cell r="J417">
            <v>660</v>
          </cell>
          <cell r="K417">
            <v>-4569877</v>
          </cell>
        </row>
        <row r="418">
          <cell r="A418">
            <v>411</v>
          </cell>
          <cell r="B418">
            <v>35900</v>
          </cell>
          <cell r="C418" t="str">
            <v>レターケース</v>
          </cell>
          <cell r="D418" t="str">
            <v>フカツ</v>
          </cell>
          <cell r="E418">
            <v>525</v>
          </cell>
          <cell r="F418" t="str">
            <v>消耗品費</v>
          </cell>
          <cell r="G418">
            <v>100</v>
          </cell>
          <cell r="H418" t="str">
            <v>現金</v>
          </cell>
          <cell r="J418">
            <v>1995</v>
          </cell>
          <cell r="K418">
            <v>-4571872</v>
          </cell>
        </row>
        <row r="419">
          <cell r="A419">
            <v>412</v>
          </cell>
          <cell r="B419">
            <v>35900</v>
          </cell>
          <cell r="C419" t="str">
            <v>夜食代</v>
          </cell>
          <cell r="D419" t="str">
            <v>セイフー</v>
          </cell>
          <cell r="E419">
            <v>503</v>
          </cell>
          <cell r="F419" t="str">
            <v>福利厚生費</v>
          </cell>
          <cell r="G419">
            <v>100</v>
          </cell>
          <cell r="H419" t="str">
            <v>現金</v>
          </cell>
          <cell r="J419">
            <v>478</v>
          </cell>
          <cell r="K419">
            <v>-4572350</v>
          </cell>
        </row>
        <row r="420">
          <cell r="A420">
            <v>413</v>
          </cell>
          <cell r="B420">
            <v>35900</v>
          </cell>
          <cell r="C420" t="str">
            <v>夜食代</v>
          </cell>
          <cell r="D420" t="str">
            <v>丸正</v>
          </cell>
          <cell r="E420">
            <v>503</v>
          </cell>
          <cell r="F420" t="str">
            <v>福利厚生費</v>
          </cell>
          <cell r="G420">
            <v>100</v>
          </cell>
          <cell r="H420" t="str">
            <v>現金</v>
          </cell>
          <cell r="J420">
            <v>1964</v>
          </cell>
          <cell r="K420">
            <v>-4574314</v>
          </cell>
        </row>
        <row r="421">
          <cell r="A421">
            <v>414</v>
          </cell>
          <cell r="B421">
            <v>35900</v>
          </cell>
          <cell r="C421" t="str">
            <v>出金伝票</v>
          </cell>
          <cell r="D421" t="str">
            <v>丸正</v>
          </cell>
          <cell r="E421">
            <v>524</v>
          </cell>
          <cell r="F421" t="str">
            <v>事務消耗品費</v>
          </cell>
          <cell r="G421">
            <v>100</v>
          </cell>
          <cell r="H421" t="str">
            <v>現金</v>
          </cell>
          <cell r="J421">
            <v>231</v>
          </cell>
          <cell r="K421">
            <v>-4574545</v>
          </cell>
        </row>
        <row r="422">
          <cell r="A422">
            <v>415</v>
          </cell>
          <cell r="B422">
            <v>35900</v>
          </cell>
          <cell r="C422" t="str">
            <v>お茶代</v>
          </cell>
          <cell r="D422" t="str">
            <v>ローソン</v>
          </cell>
          <cell r="E422">
            <v>503</v>
          </cell>
          <cell r="F422" t="str">
            <v>福利厚生費</v>
          </cell>
          <cell r="G422">
            <v>100</v>
          </cell>
          <cell r="H422" t="str">
            <v>現金</v>
          </cell>
          <cell r="J422">
            <v>281</v>
          </cell>
          <cell r="K422">
            <v>-4574826</v>
          </cell>
        </row>
        <row r="423">
          <cell r="A423">
            <v>416</v>
          </cell>
          <cell r="B423">
            <v>35900</v>
          </cell>
          <cell r="C423" t="str">
            <v>お菓子代</v>
          </cell>
          <cell r="D423" t="str">
            <v>ローソン</v>
          </cell>
          <cell r="E423">
            <v>503</v>
          </cell>
          <cell r="F423" t="str">
            <v>福利厚生費</v>
          </cell>
          <cell r="G423">
            <v>100</v>
          </cell>
          <cell r="H423" t="str">
            <v>現金</v>
          </cell>
          <cell r="J423">
            <v>1050</v>
          </cell>
          <cell r="K423">
            <v>-4575876</v>
          </cell>
        </row>
        <row r="424">
          <cell r="A424">
            <v>417</v>
          </cell>
          <cell r="B424">
            <v>35900</v>
          </cell>
          <cell r="C424" t="str">
            <v>コンピュータ誌</v>
          </cell>
          <cell r="D424" t="str">
            <v>オーブックス</v>
          </cell>
          <cell r="E424">
            <v>516</v>
          </cell>
          <cell r="F424" t="str">
            <v>図書研究費</v>
          </cell>
          <cell r="G424">
            <v>100</v>
          </cell>
          <cell r="H424" t="str">
            <v>現金</v>
          </cell>
          <cell r="J424">
            <v>1140</v>
          </cell>
          <cell r="K424">
            <v>-4577016</v>
          </cell>
        </row>
        <row r="425">
          <cell r="A425">
            <v>418</v>
          </cell>
          <cell r="B425">
            <v>35900</v>
          </cell>
          <cell r="C425" t="str">
            <v>ビ・アーム山際氏</v>
          </cell>
          <cell r="D425" t="str">
            <v>Hard Rock</v>
          </cell>
          <cell r="E425">
            <v>521</v>
          </cell>
          <cell r="F425" t="str">
            <v>接待交際費</v>
          </cell>
          <cell r="G425">
            <v>100</v>
          </cell>
          <cell r="H425" t="str">
            <v>現金</v>
          </cell>
          <cell r="J425">
            <v>10210</v>
          </cell>
          <cell r="K425">
            <v>-4587226</v>
          </cell>
        </row>
        <row r="426">
          <cell r="A426">
            <v>419</v>
          </cell>
          <cell r="B426">
            <v>35900</v>
          </cell>
          <cell r="C426" t="str">
            <v>電話代</v>
          </cell>
          <cell r="D426" t="str">
            <v>ＮＴＴ</v>
          </cell>
          <cell r="E426">
            <v>523</v>
          </cell>
          <cell r="F426" t="str">
            <v>通信費</v>
          </cell>
          <cell r="G426">
            <v>114</v>
          </cell>
          <cell r="H426" t="str">
            <v>普通預金</v>
          </cell>
          <cell r="J426">
            <v>3307</v>
          </cell>
          <cell r="K426">
            <v>-4590533</v>
          </cell>
        </row>
        <row r="427">
          <cell r="A427">
            <v>420</v>
          </cell>
          <cell r="B427">
            <v>35900</v>
          </cell>
          <cell r="C427" t="str">
            <v>電気代</v>
          </cell>
          <cell r="D427" t="str">
            <v>東京電力</v>
          </cell>
          <cell r="E427">
            <v>530</v>
          </cell>
          <cell r="F427" t="str">
            <v>水道光熱費</v>
          </cell>
          <cell r="G427">
            <v>114</v>
          </cell>
          <cell r="H427" t="str">
            <v>普通預金</v>
          </cell>
          <cell r="J427">
            <v>7558</v>
          </cell>
          <cell r="K427">
            <v>-4598091</v>
          </cell>
        </row>
        <row r="428">
          <cell r="A428">
            <v>421</v>
          </cell>
          <cell r="B428">
            <v>35901</v>
          </cell>
          <cell r="C428" t="str">
            <v>茶菓子代</v>
          </cell>
          <cell r="D428" t="str">
            <v>フレッシュネスバーガー</v>
          </cell>
          <cell r="E428">
            <v>503</v>
          </cell>
          <cell r="F428" t="str">
            <v>福利厚生費</v>
          </cell>
          <cell r="G428">
            <v>100</v>
          </cell>
          <cell r="H428" t="str">
            <v>現金</v>
          </cell>
          <cell r="J428">
            <v>336</v>
          </cell>
          <cell r="K428">
            <v>-4598427</v>
          </cell>
        </row>
        <row r="429">
          <cell r="A429">
            <v>422</v>
          </cell>
          <cell r="B429">
            <v>35902</v>
          </cell>
          <cell r="C429" t="str">
            <v>夜食代</v>
          </cell>
          <cell r="D429" t="str">
            <v>丸正</v>
          </cell>
          <cell r="E429">
            <v>503</v>
          </cell>
          <cell r="F429" t="str">
            <v>福利厚生費</v>
          </cell>
          <cell r="G429">
            <v>100</v>
          </cell>
          <cell r="H429" t="str">
            <v>現金</v>
          </cell>
          <cell r="J429">
            <v>1947</v>
          </cell>
          <cell r="K429">
            <v>-4600374</v>
          </cell>
        </row>
        <row r="430">
          <cell r="A430">
            <v>423</v>
          </cell>
          <cell r="B430">
            <v>35903</v>
          </cell>
          <cell r="C430" t="str">
            <v>亀コン手土産代</v>
          </cell>
          <cell r="D430" t="str">
            <v>玉屋</v>
          </cell>
          <cell r="E430">
            <v>521</v>
          </cell>
          <cell r="F430" t="str">
            <v>接待交際費</v>
          </cell>
          <cell r="G430">
            <v>100</v>
          </cell>
          <cell r="H430" t="str">
            <v>現金</v>
          </cell>
          <cell r="J430">
            <v>1995</v>
          </cell>
          <cell r="K430">
            <v>-4602369</v>
          </cell>
        </row>
        <row r="431">
          <cell r="A431">
            <v>424</v>
          </cell>
          <cell r="B431">
            <v>35903</v>
          </cell>
          <cell r="C431" t="str">
            <v>昼食代</v>
          </cell>
          <cell r="D431" t="str">
            <v>ローソン</v>
          </cell>
          <cell r="E431">
            <v>503</v>
          </cell>
          <cell r="F431" t="str">
            <v>福利厚生費</v>
          </cell>
          <cell r="G431">
            <v>100</v>
          </cell>
          <cell r="H431" t="str">
            <v>現金</v>
          </cell>
          <cell r="J431">
            <v>493</v>
          </cell>
          <cell r="K431">
            <v>-4602862</v>
          </cell>
        </row>
        <row r="432">
          <cell r="A432">
            <v>425</v>
          </cell>
          <cell r="B432">
            <v>35903</v>
          </cell>
          <cell r="C432" t="str">
            <v>日経新聞</v>
          </cell>
          <cell r="D432" t="str">
            <v>ローソン</v>
          </cell>
          <cell r="E432">
            <v>516</v>
          </cell>
          <cell r="F432" t="str">
            <v>図書研究費</v>
          </cell>
          <cell r="G432">
            <v>100</v>
          </cell>
          <cell r="H432" t="str">
            <v>現金</v>
          </cell>
          <cell r="J432">
            <v>130</v>
          </cell>
          <cell r="K432">
            <v>-4602992</v>
          </cell>
        </row>
        <row r="433">
          <cell r="A433">
            <v>426</v>
          </cell>
          <cell r="B433">
            <v>35903</v>
          </cell>
          <cell r="C433" t="str">
            <v>亀コン竹下氏・山口氏・霞氏</v>
          </cell>
          <cell r="D433" t="str">
            <v>コージーコーナー</v>
          </cell>
          <cell r="E433">
            <v>535</v>
          </cell>
          <cell r="F433" t="str">
            <v>会議費</v>
          </cell>
          <cell r="G433">
            <v>100</v>
          </cell>
          <cell r="H433" t="str">
            <v>現金</v>
          </cell>
          <cell r="J433">
            <v>5754</v>
          </cell>
          <cell r="K433">
            <v>-4608746</v>
          </cell>
        </row>
        <row r="434">
          <cell r="A434">
            <v>427</v>
          </cell>
          <cell r="B434">
            <v>35903</v>
          </cell>
          <cell r="C434" t="str">
            <v>コンピュータ雑誌</v>
          </cell>
          <cell r="D434" t="str">
            <v>ブックバーン</v>
          </cell>
          <cell r="E434">
            <v>516</v>
          </cell>
          <cell r="F434" t="str">
            <v>図書研究費</v>
          </cell>
          <cell r="G434">
            <v>100</v>
          </cell>
          <cell r="H434" t="str">
            <v>現金</v>
          </cell>
          <cell r="J434">
            <v>760</v>
          </cell>
          <cell r="K434">
            <v>-4609506</v>
          </cell>
        </row>
        <row r="435">
          <cell r="A435">
            <v>428</v>
          </cell>
          <cell r="B435">
            <v>35904</v>
          </cell>
          <cell r="C435" t="str">
            <v>石鹸</v>
          </cell>
          <cell r="D435" t="str">
            <v>ボディ・ショップ</v>
          </cell>
          <cell r="E435">
            <v>525</v>
          </cell>
          <cell r="F435" t="str">
            <v>消耗品費</v>
          </cell>
          <cell r="G435">
            <v>100</v>
          </cell>
          <cell r="H435" t="str">
            <v>現金</v>
          </cell>
          <cell r="J435">
            <v>1260</v>
          </cell>
          <cell r="K435">
            <v>-4610766</v>
          </cell>
        </row>
        <row r="436">
          <cell r="A436">
            <v>429</v>
          </cell>
          <cell r="B436">
            <v>35904</v>
          </cell>
          <cell r="C436" t="str">
            <v>書類送付代</v>
          </cell>
          <cell r="D436" t="str">
            <v>東屋</v>
          </cell>
          <cell r="E436">
            <v>511</v>
          </cell>
          <cell r="F436" t="str">
            <v>運賃</v>
          </cell>
          <cell r="G436">
            <v>100</v>
          </cell>
          <cell r="H436" t="str">
            <v>現金</v>
          </cell>
          <cell r="J436">
            <v>1270</v>
          </cell>
          <cell r="K436">
            <v>-4612036</v>
          </cell>
        </row>
        <row r="437">
          <cell r="A437">
            <v>430</v>
          </cell>
          <cell r="B437">
            <v>35904</v>
          </cell>
          <cell r="C437" t="str">
            <v>亀コン永田氏</v>
          </cell>
          <cell r="D437" t="str">
            <v>Fracasso</v>
          </cell>
          <cell r="E437">
            <v>535</v>
          </cell>
          <cell r="F437" t="str">
            <v>会議費</v>
          </cell>
          <cell r="G437">
            <v>100</v>
          </cell>
          <cell r="H437" t="str">
            <v>現金</v>
          </cell>
          <cell r="J437">
            <v>3453</v>
          </cell>
          <cell r="K437">
            <v>-4615489</v>
          </cell>
        </row>
        <row r="438">
          <cell r="A438">
            <v>431</v>
          </cell>
          <cell r="B438">
            <v>35905</v>
          </cell>
          <cell r="C438" t="str">
            <v>昼食代</v>
          </cell>
          <cell r="D438" t="str">
            <v>ローソン</v>
          </cell>
          <cell r="E438">
            <v>503</v>
          </cell>
          <cell r="F438" t="str">
            <v>福利厚生費</v>
          </cell>
          <cell r="G438">
            <v>100</v>
          </cell>
          <cell r="H438" t="str">
            <v>現金</v>
          </cell>
          <cell r="J438">
            <v>1394</v>
          </cell>
          <cell r="K438">
            <v>-4616883</v>
          </cell>
        </row>
        <row r="439">
          <cell r="A439">
            <v>432</v>
          </cell>
          <cell r="B439">
            <v>35905</v>
          </cell>
          <cell r="C439" t="str">
            <v>お菓子代</v>
          </cell>
          <cell r="D439" t="str">
            <v>ファミリーマート</v>
          </cell>
          <cell r="E439">
            <v>503</v>
          </cell>
          <cell r="F439" t="str">
            <v>福利厚生費</v>
          </cell>
          <cell r="G439">
            <v>100</v>
          </cell>
          <cell r="H439" t="str">
            <v>現金</v>
          </cell>
          <cell r="J439">
            <v>535</v>
          </cell>
          <cell r="K439">
            <v>-4617418</v>
          </cell>
        </row>
        <row r="440">
          <cell r="A440">
            <v>433</v>
          </cell>
          <cell r="B440">
            <v>35905</v>
          </cell>
          <cell r="C440" t="str">
            <v>コンピュータ雑誌</v>
          </cell>
          <cell r="D440" t="str">
            <v>ファミリーマート</v>
          </cell>
          <cell r="E440">
            <v>516</v>
          </cell>
          <cell r="F440" t="str">
            <v>図書研究費</v>
          </cell>
          <cell r="G440">
            <v>100</v>
          </cell>
          <cell r="H440" t="str">
            <v>現金</v>
          </cell>
          <cell r="J440">
            <v>250</v>
          </cell>
          <cell r="K440">
            <v>-4617668</v>
          </cell>
        </row>
        <row r="441">
          <cell r="A441">
            <v>434</v>
          </cell>
          <cell r="B441">
            <v>35905</v>
          </cell>
          <cell r="C441" t="str">
            <v>ビ・アーム</v>
          </cell>
          <cell r="D441" t="str">
            <v>東京グリーンパレス</v>
          </cell>
          <cell r="E441">
            <v>535</v>
          </cell>
          <cell r="F441" t="str">
            <v>会議費</v>
          </cell>
          <cell r="G441">
            <v>100</v>
          </cell>
          <cell r="H441" t="str">
            <v>現金</v>
          </cell>
          <cell r="J441">
            <v>6500</v>
          </cell>
          <cell r="K441">
            <v>-4624168</v>
          </cell>
        </row>
        <row r="442">
          <cell r="A442">
            <v>435</v>
          </cell>
          <cell r="B442">
            <v>35905</v>
          </cell>
          <cell r="C442" t="str">
            <v>外注費</v>
          </cell>
          <cell r="D442" t="str">
            <v>山口 正則</v>
          </cell>
          <cell r="E442">
            <v>464</v>
          </cell>
          <cell r="F442" t="str">
            <v>外注費</v>
          </cell>
          <cell r="G442">
            <v>100</v>
          </cell>
          <cell r="H442" t="str">
            <v>現金</v>
          </cell>
          <cell r="J442">
            <v>90000</v>
          </cell>
          <cell r="K442">
            <v>-4714168</v>
          </cell>
        </row>
        <row r="443">
          <cell r="A443">
            <v>436</v>
          </cell>
          <cell r="B443">
            <v>35905</v>
          </cell>
          <cell r="C443" t="str">
            <v>源泉所得税</v>
          </cell>
          <cell r="D443" t="str">
            <v>山口 正則</v>
          </cell>
          <cell r="E443">
            <v>464</v>
          </cell>
          <cell r="F443" t="str">
            <v>外注費</v>
          </cell>
          <cell r="G443">
            <v>208</v>
          </cell>
          <cell r="H443" t="str">
            <v>預り金</v>
          </cell>
          <cell r="J443">
            <v>10000</v>
          </cell>
          <cell r="K443">
            <v>-4724168</v>
          </cell>
        </row>
        <row r="444">
          <cell r="A444">
            <v>437</v>
          </cell>
          <cell r="B444">
            <v>35905</v>
          </cell>
          <cell r="C444" t="str">
            <v>外注費</v>
          </cell>
          <cell r="D444" t="str">
            <v>竹下 紀章</v>
          </cell>
          <cell r="E444">
            <v>464</v>
          </cell>
          <cell r="F444" t="str">
            <v>外注費</v>
          </cell>
          <cell r="G444">
            <v>100</v>
          </cell>
          <cell r="H444" t="str">
            <v>現金</v>
          </cell>
          <cell r="J444">
            <v>90000</v>
          </cell>
          <cell r="K444">
            <v>-4814168</v>
          </cell>
        </row>
        <row r="445">
          <cell r="A445">
            <v>438</v>
          </cell>
          <cell r="B445">
            <v>35905</v>
          </cell>
          <cell r="C445" t="str">
            <v>源泉所得税</v>
          </cell>
          <cell r="D445" t="str">
            <v>竹下 紀章</v>
          </cell>
          <cell r="E445">
            <v>464</v>
          </cell>
          <cell r="F445" t="str">
            <v>外注費</v>
          </cell>
          <cell r="G445">
            <v>208</v>
          </cell>
          <cell r="H445" t="str">
            <v>預り金</v>
          </cell>
          <cell r="J445">
            <v>10000</v>
          </cell>
          <cell r="K445">
            <v>-4824168</v>
          </cell>
        </row>
        <row r="446">
          <cell r="A446">
            <v>439</v>
          </cell>
          <cell r="B446">
            <v>35905</v>
          </cell>
          <cell r="C446" t="str">
            <v>外注費</v>
          </cell>
          <cell r="D446" t="str">
            <v>加藤 大介</v>
          </cell>
          <cell r="E446">
            <v>464</v>
          </cell>
          <cell r="F446" t="str">
            <v>外注費</v>
          </cell>
          <cell r="G446">
            <v>100</v>
          </cell>
          <cell r="H446" t="str">
            <v>現金</v>
          </cell>
          <cell r="J446">
            <v>90000</v>
          </cell>
          <cell r="K446">
            <v>-4914168</v>
          </cell>
        </row>
        <row r="447">
          <cell r="A447">
            <v>440</v>
          </cell>
          <cell r="B447">
            <v>35905</v>
          </cell>
          <cell r="C447" t="str">
            <v>源泉所得税</v>
          </cell>
          <cell r="D447" t="str">
            <v>加藤 大介</v>
          </cell>
          <cell r="E447">
            <v>464</v>
          </cell>
          <cell r="F447" t="str">
            <v>外注費</v>
          </cell>
          <cell r="G447">
            <v>208</v>
          </cell>
          <cell r="H447" t="str">
            <v>預り金</v>
          </cell>
          <cell r="J447">
            <v>10000</v>
          </cell>
          <cell r="K447">
            <v>-4924168</v>
          </cell>
        </row>
        <row r="448">
          <cell r="A448">
            <v>441</v>
          </cell>
          <cell r="B448">
            <v>35905</v>
          </cell>
          <cell r="C448" t="str">
            <v>外注費</v>
          </cell>
          <cell r="D448" t="str">
            <v>霞  友信</v>
          </cell>
          <cell r="E448">
            <v>464</v>
          </cell>
          <cell r="F448" t="str">
            <v>外注費</v>
          </cell>
          <cell r="G448">
            <v>100</v>
          </cell>
          <cell r="H448" t="str">
            <v>現金</v>
          </cell>
          <cell r="J448">
            <v>90000</v>
          </cell>
          <cell r="K448">
            <v>-5014168</v>
          </cell>
        </row>
        <row r="449">
          <cell r="A449">
            <v>442</v>
          </cell>
          <cell r="B449">
            <v>35905</v>
          </cell>
          <cell r="C449" t="str">
            <v>源泉所得税</v>
          </cell>
          <cell r="D449" t="str">
            <v>霞  友信</v>
          </cell>
          <cell r="E449">
            <v>464</v>
          </cell>
          <cell r="F449" t="str">
            <v>外注費</v>
          </cell>
          <cell r="G449">
            <v>208</v>
          </cell>
          <cell r="H449" t="str">
            <v>預り金</v>
          </cell>
          <cell r="J449">
            <v>10000</v>
          </cell>
          <cell r="K449">
            <v>-5024168</v>
          </cell>
        </row>
        <row r="450">
          <cell r="A450">
            <v>443</v>
          </cell>
          <cell r="B450">
            <v>35906</v>
          </cell>
          <cell r="C450" t="str">
            <v>夜食代</v>
          </cell>
          <cell r="D450" t="str">
            <v>ローソン</v>
          </cell>
          <cell r="E450">
            <v>503</v>
          </cell>
          <cell r="F450" t="str">
            <v>福利厚生費</v>
          </cell>
          <cell r="G450">
            <v>100</v>
          </cell>
          <cell r="H450" t="str">
            <v>現金</v>
          </cell>
          <cell r="J450">
            <v>672</v>
          </cell>
          <cell r="K450">
            <v>-5024840</v>
          </cell>
        </row>
        <row r="451">
          <cell r="A451">
            <v>444</v>
          </cell>
          <cell r="B451">
            <v>35906</v>
          </cell>
          <cell r="C451" t="str">
            <v>コンピュータ関係</v>
          </cell>
          <cell r="D451" t="str">
            <v>ビックパソコン館</v>
          </cell>
          <cell r="E451">
            <v>516</v>
          </cell>
          <cell r="F451" t="str">
            <v>図書研究費</v>
          </cell>
          <cell r="G451">
            <v>100</v>
          </cell>
          <cell r="H451" t="str">
            <v>現金</v>
          </cell>
          <cell r="J451">
            <v>15362</v>
          </cell>
          <cell r="K451">
            <v>-5040202</v>
          </cell>
        </row>
        <row r="452">
          <cell r="A452">
            <v>445</v>
          </cell>
          <cell r="B452">
            <v>35906</v>
          </cell>
          <cell r="C452" t="str">
            <v>ガス代</v>
          </cell>
          <cell r="D452" t="str">
            <v>東京ガス</v>
          </cell>
          <cell r="E452">
            <v>530</v>
          </cell>
          <cell r="F452" t="str">
            <v>水道光熱費</v>
          </cell>
          <cell r="G452">
            <v>114</v>
          </cell>
          <cell r="H452" t="str">
            <v>普通預金</v>
          </cell>
          <cell r="J452">
            <v>5014</v>
          </cell>
          <cell r="K452">
            <v>-5045216</v>
          </cell>
        </row>
        <row r="453">
          <cell r="A453">
            <v>446</v>
          </cell>
          <cell r="B453">
            <v>35907</v>
          </cell>
          <cell r="C453" t="str">
            <v>夜食代</v>
          </cell>
          <cell r="D453" t="str">
            <v>丸正</v>
          </cell>
          <cell r="E453">
            <v>503</v>
          </cell>
          <cell r="F453" t="str">
            <v>福利厚生費</v>
          </cell>
          <cell r="G453">
            <v>100</v>
          </cell>
          <cell r="H453" t="str">
            <v>現金</v>
          </cell>
          <cell r="J453">
            <v>2032</v>
          </cell>
          <cell r="K453">
            <v>-5047248</v>
          </cell>
        </row>
        <row r="454">
          <cell r="A454">
            <v>447</v>
          </cell>
          <cell r="B454">
            <v>35907</v>
          </cell>
          <cell r="C454" t="str">
            <v>昼食代</v>
          </cell>
          <cell r="D454" t="str">
            <v>ローソン</v>
          </cell>
          <cell r="E454">
            <v>503</v>
          </cell>
          <cell r="F454" t="str">
            <v>福利厚生費</v>
          </cell>
          <cell r="G454">
            <v>100</v>
          </cell>
          <cell r="H454" t="str">
            <v>現金</v>
          </cell>
          <cell r="J454">
            <v>774</v>
          </cell>
          <cell r="K454">
            <v>-5048022</v>
          </cell>
        </row>
        <row r="455">
          <cell r="A455">
            <v>448</v>
          </cell>
          <cell r="B455">
            <v>35908</v>
          </cell>
          <cell r="C455" t="str">
            <v>お菓子代</v>
          </cell>
          <cell r="D455" t="str">
            <v>丸正</v>
          </cell>
          <cell r="E455">
            <v>503</v>
          </cell>
          <cell r="F455" t="str">
            <v>福利厚生費</v>
          </cell>
          <cell r="G455">
            <v>100</v>
          </cell>
          <cell r="H455" t="str">
            <v>現金</v>
          </cell>
          <cell r="J455">
            <v>570</v>
          </cell>
          <cell r="K455">
            <v>-5048592</v>
          </cell>
        </row>
        <row r="456">
          <cell r="A456">
            <v>449</v>
          </cell>
          <cell r="B456">
            <v>35909</v>
          </cell>
          <cell r="C456" t="str">
            <v>茶菓子代</v>
          </cell>
          <cell r="D456" t="str">
            <v>一口茶屋</v>
          </cell>
          <cell r="E456">
            <v>503</v>
          </cell>
          <cell r="F456" t="str">
            <v>福利厚生費</v>
          </cell>
          <cell r="G456">
            <v>100</v>
          </cell>
          <cell r="H456" t="str">
            <v>現金</v>
          </cell>
          <cell r="J456">
            <v>380</v>
          </cell>
          <cell r="K456">
            <v>-5048972</v>
          </cell>
        </row>
        <row r="457">
          <cell r="A457">
            <v>450</v>
          </cell>
          <cell r="B457">
            <v>35909</v>
          </cell>
          <cell r="C457" t="str">
            <v>昼食代</v>
          </cell>
          <cell r="D457" t="str">
            <v>ローソン</v>
          </cell>
          <cell r="E457">
            <v>503</v>
          </cell>
          <cell r="F457" t="str">
            <v>福利厚生費</v>
          </cell>
          <cell r="G457">
            <v>100</v>
          </cell>
          <cell r="H457" t="str">
            <v>現金</v>
          </cell>
          <cell r="J457">
            <v>499</v>
          </cell>
          <cell r="K457">
            <v>-5049471</v>
          </cell>
        </row>
        <row r="458">
          <cell r="A458">
            <v>451</v>
          </cell>
          <cell r="B458">
            <v>35909</v>
          </cell>
          <cell r="C458" t="str">
            <v>切手代</v>
          </cell>
          <cell r="D458" t="str">
            <v>郵便局</v>
          </cell>
          <cell r="E458">
            <v>523</v>
          </cell>
          <cell r="F458" t="str">
            <v>通信費</v>
          </cell>
          <cell r="G458">
            <v>100</v>
          </cell>
          <cell r="H458" t="str">
            <v>現金</v>
          </cell>
          <cell r="J458">
            <v>800</v>
          </cell>
          <cell r="K458">
            <v>-5050271</v>
          </cell>
        </row>
        <row r="459">
          <cell r="A459">
            <v>452</v>
          </cell>
          <cell r="B459">
            <v>35909</v>
          </cell>
          <cell r="C459" t="str">
            <v>亀コン霞氏・加藤氏・山口氏</v>
          </cell>
          <cell r="D459" t="str">
            <v>AMERICAN POTATO</v>
          </cell>
          <cell r="E459">
            <v>535</v>
          </cell>
          <cell r="F459" t="str">
            <v>会議費</v>
          </cell>
          <cell r="G459">
            <v>100</v>
          </cell>
          <cell r="H459" t="str">
            <v>現金</v>
          </cell>
          <cell r="J459">
            <v>4140</v>
          </cell>
          <cell r="K459">
            <v>-5054411</v>
          </cell>
        </row>
        <row r="460">
          <cell r="A460">
            <v>453</v>
          </cell>
          <cell r="B460">
            <v>35910</v>
          </cell>
          <cell r="C460" t="str">
            <v>タクシー代</v>
          </cell>
          <cell r="D460" t="str">
            <v>日本交通</v>
          </cell>
          <cell r="E460">
            <v>522</v>
          </cell>
          <cell r="F460" t="str">
            <v>旅費交通費</v>
          </cell>
          <cell r="G460">
            <v>100</v>
          </cell>
          <cell r="H460" t="str">
            <v>現金</v>
          </cell>
          <cell r="J460">
            <v>820</v>
          </cell>
          <cell r="K460">
            <v>-5055231</v>
          </cell>
        </row>
        <row r="461">
          <cell r="A461">
            <v>454</v>
          </cell>
          <cell r="B461">
            <v>35910</v>
          </cell>
          <cell r="C461" t="str">
            <v>タクシー代</v>
          </cell>
          <cell r="D461" t="str">
            <v>日本自動車交通</v>
          </cell>
          <cell r="E461">
            <v>522</v>
          </cell>
          <cell r="F461" t="str">
            <v>旅費交通費</v>
          </cell>
          <cell r="G461">
            <v>100</v>
          </cell>
          <cell r="H461" t="str">
            <v>現金</v>
          </cell>
          <cell r="J461">
            <v>1060</v>
          </cell>
          <cell r="K461">
            <v>-5056291</v>
          </cell>
        </row>
        <row r="462">
          <cell r="A462">
            <v>455</v>
          </cell>
          <cell r="B462">
            <v>35910</v>
          </cell>
          <cell r="C462" t="str">
            <v>昼食代</v>
          </cell>
          <cell r="D462" t="str">
            <v>セイフー</v>
          </cell>
          <cell r="E462">
            <v>503</v>
          </cell>
          <cell r="F462" t="str">
            <v>福利厚生費</v>
          </cell>
          <cell r="G462">
            <v>100</v>
          </cell>
          <cell r="H462" t="str">
            <v>現金</v>
          </cell>
          <cell r="J462">
            <v>315</v>
          </cell>
          <cell r="K462">
            <v>-5056606</v>
          </cell>
        </row>
        <row r="463">
          <cell r="A463">
            <v>456</v>
          </cell>
          <cell r="B463">
            <v>35910</v>
          </cell>
          <cell r="C463" t="str">
            <v>昼食代</v>
          </cell>
          <cell r="D463" t="str">
            <v>丸正</v>
          </cell>
          <cell r="E463">
            <v>503</v>
          </cell>
          <cell r="F463" t="str">
            <v>福利厚生費</v>
          </cell>
          <cell r="G463">
            <v>100</v>
          </cell>
          <cell r="H463" t="str">
            <v>現金</v>
          </cell>
          <cell r="J463">
            <v>1705</v>
          </cell>
          <cell r="K463">
            <v>-5058311</v>
          </cell>
        </row>
        <row r="464">
          <cell r="A464">
            <v>457</v>
          </cell>
          <cell r="B464">
            <v>35910</v>
          </cell>
          <cell r="C464" t="str">
            <v>亀コン永田氏・竹下氏・加藤氏</v>
          </cell>
          <cell r="D464" t="str">
            <v>UA</v>
          </cell>
          <cell r="E464">
            <v>535</v>
          </cell>
          <cell r="F464" t="str">
            <v>会議費</v>
          </cell>
          <cell r="G464">
            <v>100</v>
          </cell>
          <cell r="H464" t="str">
            <v>現金</v>
          </cell>
          <cell r="J464">
            <v>4893</v>
          </cell>
          <cell r="K464">
            <v>-5063204</v>
          </cell>
        </row>
        <row r="465">
          <cell r="A465">
            <v>458</v>
          </cell>
          <cell r="B465">
            <v>35911</v>
          </cell>
          <cell r="C465" t="str">
            <v>HGP緒方氏・亀ｺﾝ永田氏</v>
          </cell>
          <cell r="D465" t="str">
            <v>ダイアモンドホテル</v>
          </cell>
          <cell r="E465">
            <v>535</v>
          </cell>
          <cell r="F465" t="str">
            <v>会議費</v>
          </cell>
          <cell r="G465">
            <v>100</v>
          </cell>
          <cell r="H465" t="str">
            <v>現金</v>
          </cell>
          <cell r="J465">
            <v>9933</v>
          </cell>
          <cell r="K465">
            <v>-5073137</v>
          </cell>
        </row>
        <row r="466">
          <cell r="A466">
            <v>459</v>
          </cell>
          <cell r="B466">
            <v>35911</v>
          </cell>
          <cell r="C466" t="str">
            <v>タクシー代</v>
          </cell>
          <cell r="D466" t="str">
            <v>京王自動車</v>
          </cell>
          <cell r="E466">
            <v>522</v>
          </cell>
          <cell r="F466" t="str">
            <v>旅費交通費</v>
          </cell>
          <cell r="G466">
            <v>100</v>
          </cell>
          <cell r="H466" t="str">
            <v>現金</v>
          </cell>
          <cell r="J466">
            <v>660</v>
          </cell>
          <cell r="K466">
            <v>-5073797</v>
          </cell>
        </row>
        <row r="467">
          <cell r="A467">
            <v>460</v>
          </cell>
          <cell r="B467">
            <v>35912</v>
          </cell>
          <cell r="C467" t="str">
            <v>昼食代</v>
          </cell>
          <cell r="D467" t="str">
            <v>セイフー</v>
          </cell>
          <cell r="E467">
            <v>503</v>
          </cell>
          <cell r="F467" t="str">
            <v>福利厚生費</v>
          </cell>
          <cell r="G467">
            <v>100</v>
          </cell>
          <cell r="H467" t="str">
            <v>現金</v>
          </cell>
          <cell r="J467">
            <v>409</v>
          </cell>
          <cell r="K467">
            <v>-5074206</v>
          </cell>
        </row>
        <row r="468">
          <cell r="A468">
            <v>461</v>
          </cell>
          <cell r="B468">
            <v>35912</v>
          </cell>
          <cell r="C468" t="str">
            <v>夜食代</v>
          </cell>
          <cell r="D468" t="str">
            <v>丸正</v>
          </cell>
          <cell r="E468">
            <v>503</v>
          </cell>
          <cell r="F468" t="str">
            <v>福利厚生費</v>
          </cell>
          <cell r="G468">
            <v>100</v>
          </cell>
          <cell r="H468" t="str">
            <v>現金</v>
          </cell>
          <cell r="J468">
            <v>1368</v>
          </cell>
          <cell r="K468">
            <v>-5075574</v>
          </cell>
        </row>
        <row r="469">
          <cell r="A469">
            <v>462</v>
          </cell>
          <cell r="B469">
            <v>35912</v>
          </cell>
          <cell r="C469" t="str">
            <v>PHS通話料</v>
          </cell>
          <cell r="D469" t="str">
            <v>ＤＤＩポケット</v>
          </cell>
          <cell r="E469">
            <v>523</v>
          </cell>
          <cell r="F469" t="str">
            <v>通信費</v>
          </cell>
          <cell r="G469">
            <v>114</v>
          </cell>
          <cell r="H469" t="str">
            <v>普通預金</v>
          </cell>
          <cell r="J469">
            <v>5995</v>
          </cell>
          <cell r="K469">
            <v>-5081569</v>
          </cell>
        </row>
        <row r="470">
          <cell r="A470">
            <v>463</v>
          </cell>
          <cell r="B470">
            <v>35912</v>
          </cell>
          <cell r="C470" t="str">
            <v>5月分家賃</v>
          </cell>
          <cell r="D470" t="str">
            <v>大塚刷毛製造(株）</v>
          </cell>
          <cell r="E470">
            <v>528</v>
          </cell>
          <cell r="F470" t="str">
            <v>地代・家賃</v>
          </cell>
          <cell r="G470">
            <v>100</v>
          </cell>
          <cell r="H470" t="str">
            <v>現金</v>
          </cell>
          <cell r="J470">
            <v>89000</v>
          </cell>
          <cell r="K470">
            <v>-5170569</v>
          </cell>
        </row>
        <row r="471">
          <cell r="A471">
            <v>464</v>
          </cell>
          <cell r="B471">
            <v>35912</v>
          </cell>
          <cell r="C471" t="str">
            <v>預り金</v>
          </cell>
          <cell r="D471" t="str">
            <v>四谷税務署</v>
          </cell>
          <cell r="E471">
            <v>208</v>
          </cell>
          <cell r="F471" t="str">
            <v>預り金</v>
          </cell>
          <cell r="G471">
            <v>114</v>
          </cell>
          <cell r="H471" t="str">
            <v>普通預金</v>
          </cell>
          <cell r="J471">
            <v>710000</v>
          </cell>
          <cell r="K471">
            <v>-5880569</v>
          </cell>
        </row>
        <row r="472">
          <cell r="A472">
            <v>465</v>
          </cell>
          <cell r="B472">
            <v>35913</v>
          </cell>
          <cell r="C472" t="str">
            <v>顧問報酬料</v>
          </cell>
          <cell r="D472" t="str">
            <v>中川会計事務所</v>
          </cell>
          <cell r="E472">
            <v>537</v>
          </cell>
          <cell r="F472" t="str">
            <v>顧問報酬</v>
          </cell>
          <cell r="G472">
            <v>100</v>
          </cell>
          <cell r="H472" t="str">
            <v>現金</v>
          </cell>
          <cell r="J472">
            <v>14250</v>
          </cell>
          <cell r="K472">
            <v>-5894819</v>
          </cell>
        </row>
        <row r="473">
          <cell r="A473">
            <v>466</v>
          </cell>
          <cell r="B473">
            <v>35913</v>
          </cell>
          <cell r="C473" t="str">
            <v>源泉所得税</v>
          </cell>
          <cell r="D473" t="str">
            <v>中川会計事務所</v>
          </cell>
          <cell r="E473">
            <v>537</v>
          </cell>
          <cell r="F473" t="str">
            <v>顧問報酬</v>
          </cell>
          <cell r="G473">
            <v>208</v>
          </cell>
          <cell r="H473" t="str">
            <v>預り金</v>
          </cell>
          <cell r="J473">
            <v>1500</v>
          </cell>
          <cell r="K473">
            <v>-5896319</v>
          </cell>
        </row>
        <row r="474">
          <cell r="A474">
            <v>467</v>
          </cell>
          <cell r="B474">
            <v>35914</v>
          </cell>
          <cell r="C474" t="str">
            <v>お茶代</v>
          </cell>
          <cell r="D474" t="str">
            <v>am pm</v>
          </cell>
          <cell r="E474">
            <v>503</v>
          </cell>
          <cell r="F474" t="str">
            <v>福利厚生費</v>
          </cell>
          <cell r="G474">
            <v>100</v>
          </cell>
          <cell r="H474" t="str">
            <v>現金</v>
          </cell>
          <cell r="J474">
            <v>530</v>
          </cell>
          <cell r="K474">
            <v>-5896849</v>
          </cell>
        </row>
        <row r="475">
          <cell r="A475">
            <v>468</v>
          </cell>
          <cell r="B475">
            <v>35914</v>
          </cell>
          <cell r="C475" t="str">
            <v>昼食代</v>
          </cell>
          <cell r="D475" t="str">
            <v>丸正</v>
          </cell>
          <cell r="E475">
            <v>503</v>
          </cell>
          <cell r="F475" t="str">
            <v>福利厚生費</v>
          </cell>
          <cell r="G475">
            <v>100</v>
          </cell>
          <cell r="H475" t="str">
            <v>現金</v>
          </cell>
          <cell r="J475">
            <v>2214</v>
          </cell>
          <cell r="K475">
            <v>-5899063</v>
          </cell>
        </row>
        <row r="476">
          <cell r="A476">
            <v>469</v>
          </cell>
          <cell r="B476">
            <v>35914</v>
          </cell>
          <cell r="C476" t="str">
            <v>日経netＮavi</v>
          </cell>
          <cell r="D476" t="str">
            <v>am pm</v>
          </cell>
          <cell r="E476">
            <v>516</v>
          </cell>
          <cell r="F476" t="str">
            <v>図書研究費</v>
          </cell>
          <cell r="G476">
            <v>100</v>
          </cell>
          <cell r="H476" t="str">
            <v>現金</v>
          </cell>
          <cell r="J476">
            <v>590</v>
          </cell>
          <cell r="K476">
            <v>-5899653</v>
          </cell>
        </row>
        <row r="477">
          <cell r="A477">
            <v>470</v>
          </cell>
          <cell r="B477">
            <v>35914</v>
          </cell>
          <cell r="C477" t="str">
            <v>お茶代</v>
          </cell>
          <cell r="D477" t="str">
            <v>am pm</v>
          </cell>
          <cell r="E477">
            <v>503</v>
          </cell>
          <cell r="F477" t="str">
            <v>福利厚生費</v>
          </cell>
          <cell r="G477">
            <v>100</v>
          </cell>
          <cell r="H477" t="str">
            <v>現金</v>
          </cell>
          <cell r="J477">
            <v>344</v>
          </cell>
          <cell r="K477">
            <v>-5899997</v>
          </cell>
        </row>
        <row r="478">
          <cell r="A478">
            <v>471</v>
          </cell>
          <cell r="B478">
            <v>35914</v>
          </cell>
          <cell r="C478" t="str">
            <v>タクシー代</v>
          </cell>
          <cell r="D478" t="str">
            <v>三和交通</v>
          </cell>
          <cell r="E478">
            <v>522</v>
          </cell>
          <cell r="F478" t="str">
            <v>旅費交通費</v>
          </cell>
          <cell r="G478">
            <v>100</v>
          </cell>
          <cell r="H478" t="str">
            <v>現金</v>
          </cell>
          <cell r="J478">
            <v>640</v>
          </cell>
          <cell r="K478">
            <v>-5900637</v>
          </cell>
        </row>
        <row r="479">
          <cell r="A479">
            <v>472</v>
          </cell>
          <cell r="B479">
            <v>35915</v>
          </cell>
          <cell r="C479" t="str">
            <v>タオル代</v>
          </cell>
          <cell r="D479" t="str">
            <v>HARMAN</v>
          </cell>
          <cell r="E479">
            <v>525</v>
          </cell>
          <cell r="F479" t="str">
            <v>消耗品費</v>
          </cell>
          <cell r="G479">
            <v>100</v>
          </cell>
          <cell r="H479" t="str">
            <v>現金</v>
          </cell>
          <cell r="J479">
            <v>1050</v>
          </cell>
          <cell r="K479">
            <v>-5901687</v>
          </cell>
        </row>
        <row r="480">
          <cell r="A480">
            <v>473</v>
          </cell>
          <cell r="B480">
            <v>35915</v>
          </cell>
          <cell r="C480" t="str">
            <v>茶菓子代</v>
          </cell>
          <cell r="D480" t="str">
            <v>ボントール</v>
          </cell>
          <cell r="E480">
            <v>503</v>
          </cell>
          <cell r="F480" t="str">
            <v>福利厚生費</v>
          </cell>
          <cell r="G480">
            <v>100</v>
          </cell>
          <cell r="H480" t="str">
            <v>現金</v>
          </cell>
          <cell r="J480">
            <v>326</v>
          </cell>
          <cell r="K480">
            <v>-5902013</v>
          </cell>
        </row>
        <row r="481">
          <cell r="A481">
            <v>474</v>
          </cell>
          <cell r="B481">
            <v>35915</v>
          </cell>
          <cell r="C481" t="str">
            <v>茶菓子代</v>
          </cell>
          <cell r="D481" t="str">
            <v>ローソン</v>
          </cell>
          <cell r="E481">
            <v>503</v>
          </cell>
          <cell r="F481" t="str">
            <v>福利厚生費</v>
          </cell>
          <cell r="G481">
            <v>100</v>
          </cell>
          <cell r="H481" t="str">
            <v>現金</v>
          </cell>
          <cell r="J481">
            <v>816</v>
          </cell>
          <cell r="K481">
            <v>-5902829</v>
          </cell>
        </row>
        <row r="482">
          <cell r="A482">
            <v>475</v>
          </cell>
          <cell r="B482">
            <v>35915</v>
          </cell>
          <cell r="C482" t="str">
            <v>夜食代</v>
          </cell>
          <cell r="D482" t="str">
            <v>ファミリーマート</v>
          </cell>
          <cell r="E482">
            <v>503</v>
          </cell>
          <cell r="F482" t="str">
            <v>福利厚生費</v>
          </cell>
          <cell r="G482">
            <v>100</v>
          </cell>
          <cell r="H482" t="str">
            <v>現金</v>
          </cell>
          <cell r="J482">
            <v>1160</v>
          </cell>
          <cell r="K482">
            <v>-5903989</v>
          </cell>
        </row>
        <row r="483">
          <cell r="A483">
            <v>476</v>
          </cell>
          <cell r="B483">
            <v>35915</v>
          </cell>
          <cell r="C483" t="str">
            <v>日経新聞</v>
          </cell>
          <cell r="D483" t="str">
            <v>ファミリーマート</v>
          </cell>
          <cell r="E483">
            <v>516</v>
          </cell>
          <cell r="F483" t="str">
            <v>図書研究費</v>
          </cell>
          <cell r="G483">
            <v>100</v>
          </cell>
          <cell r="H483" t="str">
            <v>現金</v>
          </cell>
          <cell r="J483">
            <v>130</v>
          </cell>
          <cell r="K483">
            <v>-5904119</v>
          </cell>
        </row>
        <row r="484">
          <cell r="A484">
            <v>477</v>
          </cell>
          <cell r="B484">
            <v>35915</v>
          </cell>
          <cell r="C484" t="str">
            <v>４月分給料</v>
          </cell>
          <cell r="D484" t="str">
            <v>細川万紀子</v>
          </cell>
          <cell r="E484">
            <v>501</v>
          </cell>
          <cell r="F484" t="str">
            <v>給料手当</v>
          </cell>
          <cell r="G484">
            <v>100</v>
          </cell>
          <cell r="H484" t="str">
            <v>現金</v>
          </cell>
          <cell r="J484">
            <v>463070</v>
          </cell>
          <cell r="K484">
            <v>-6367189</v>
          </cell>
        </row>
        <row r="485">
          <cell r="A485">
            <v>478</v>
          </cell>
          <cell r="B485">
            <v>35915</v>
          </cell>
          <cell r="C485" t="str">
            <v>源泉所得税</v>
          </cell>
          <cell r="D485" t="str">
            <v>細川万紀子</v>
          </cell>
          <cell r="E485">
            <v>501</v>
          </cell>
          <cell r="F485" t="str">
            <v>給料手当</v>
          </cell>
          <cell r="G485">
            <v>208</v>
          </cell>
          <cell r="H485" t="str">
            <v>預り金</v>
          </cell>
          <cell r="J485">
            <v>36930</v>
          </cell>
          <cell r="K485">
            <v>-6404119</v>
          </cell>
        </row>
        <row r="486">
          <cell r="A486">
            <v>479</v>
          </cell>
          <cell r="B486">
            <v>35916</v>
          </cell>
          <cell r="C486" t="str">
            <v>日経新聞</v>
          </cell>
          <cell r="D486" t="str">
            <v>ＬＡＷＳＯＮ</v>
          </cell>
          <cell r="E486">
            <v>516</v>
          </cell>
          <cell r="F486" t="str">
            <v>図書研究費</v>
          </cell>
          <cell r="G486">
            <v>100</v>
          </cell>
          <cell r="H486" t="str">
            <v>現金</v>
          </cell>
          <cell r="J486">
            <v>130</v>
          </cell>
          <cell r="K486">
            <v>-6404249</v>
          </cell>
        </row>
        <row r="487">
          <cell r="A487">
            <v>480</v>
          </cell>
          <cell r="B487">
            <v>35916</v>
          </cell>
          <cell r="C487" t="str">
            <v>茶菓子代</v>
          </cell>
          <cell r="D487" t="str">
            <v>ＬＡＷＳＯＮ</v>
          </cell>
          <cell r="E487">
            <v>503</v>
          </cell>
          <cell r="F487" t="str">
            <v>福利厚生費</v>
          </cell>
          <cell r="G487">
            <v>100</v>
          </cell>
          <cell r="H487" t="str">
            <v>現金</v>
          </cell>
          <cell r="J487">
            <v>375</v>
          </cell>
          <cell r="K487">
            <v>-6404624</v>
          </cell>
        </row>
        <row r="488">
          <cell r="A488">
            <v>481</v>
          </cell>
          <cell r="B488">
            <v>35916</v>
          </cell>
          <cell r="C488" t="str">
            <v>亀ｺﾝ竹下氏</v>
          </cell>
          <cell r="D488" t="str">
            <v>Semmer Field</v>
          </cell>
          <cell r="E488">
            <v>535</v>
          </cell>
          <cell r="F488" t="str">
            <v>会議費</v>
          </cell>
          <cell r="G488">
            <v>100</v>
          </cell>
          <cell r="H488" t="str">
            <v>現金</v>
          </cell>
          <cell r="J488">
            <v>787</v>
          </cell>
          <cell r="K488">
            <v>-6405411</v>
          </cell>
        </row>
        <row r="489">
          <cell r="A489">
            <v>482</v>
          </cell>
          <cell r="B489">
            <v>35916</v>
          </cell>
          <cell r="C489" t="str">
            <v>お茶代</v>
          </cell>
          <cell r="D489" t="str">
            <v>セイフー</v>
          </cell>
          <cell r="E489">
            <v>503</v>
          </cell>
          <cell r="F489" t="str">
            <v>福利厚生費</v>
          </cell>
          <cell r="G489">
            <v>100</v>
          </cell>
          <cell r="H489" t="str">
            <v>現金</v>
          </cell>
          <cell r="J489">
            <v>697</v>
          </cell>
          <cell r="K489">
            <v>-6406108</v>
          </cell>
        </row>
        <row r="490">
          <cell r="A490">
            <v>483</v>
          </cell>
          <cell r="B490">
            <v>35917</v>
          </cell>
          <cell r="C490" t="str">
            <v>コピー用紙、アダプタ</v>
          </cell>
          <cell r="D490" t="str">
            <v>ＬＡＯＸ</v>
          </cell>
          <cell r="E490">
            <v>524</v>
          </cell>
          <cell r="F490" t="str">
            <v>事務消耗品費</v>
          </cell>
          <cell r="G490">
            <v>100</v>
          </cell>
          <cell r="H490" t="str">
            <v>現金</v>
          </cell>
          <cell r="J490">
            <v>2436</v>
          </cell>
          <cell r="K490">
            <v>-6408544</v>
          </cell>
        </row>
        <row r="491">
          <cell r="A491">
            <v>484</v>
          </cell>
          <cell r="B491">
            <v>35917</v>
          </cell>
          <cell r="C491" t="str">
            <v>昼食代</v>
          </cell>
          <cell r="D491" t="str">
            <v>ＬＡＷＳＯＮ</v>
          </cell>
          <cell r="E491">
            <v>503</v>
          </cell>
          <cell r="F491" t="str">
            <v>福利厚生費</v>
          </cell>
          <cell r="G491">
            <v>100</v>
          </cell>
          <cell r="H491" t="str">
            <v>現金</v>
          </cell>
          <cell r="J491">
            <v>924</v>
          </cell>
          <cell r="K491">
            <v>-6409468</v>
          </cell>
        </row>
        <row r="492">
          <cell r="A492">
            <v>485</v>
          </cell>
          <cell r="B492">
            <v>35917</v>
          </cell>
          <cell r="C492" t="str">
            <v>お茶代</v>
          </cell>
          <cell r="D492" t="str">
            <v>am pm</v>
          </cell>
          <cell r="E492">
            <v>503</v>
          </cell>
          <cell r="F492" t="str">
            <v>福利厚生費</v>
          </cell>
          <cell r="G492">
            <v>100</v>
          </cell>
          <cell r="H492" t="str">
            <v>現金</v>
          </cell>
          <cell r="J492">
            <v>745</v>
          </cell>
          <cell r="K492">
            <v>-6410213</v>
          </cell>
        </row>
        <row r="493">
          <cell r="A493">
            <v>486</v>
          </cell>
          <cell r="B493">
            <v>35917</v>
          </cell>
          <cell r="C493" t="str">
            <v>夜食代</v>
          </cell>
          <cell r="D493" t="str">
            <v>丸正</v>
          </cell>
          <cell r="E493">
            <v>503</v>
          </cell>
          <cell r="F493" t="str">
            <v>福利厚生費</v>
          </cell>
          <cell r="G493">
            <v>100</v>
          </cell>
          <cell r="H493" t="str">
            <v>現金</v>
          </cell>
          <cell r="J493">
            <v>1495</v>
          </cell>
          <cell r="K493">
            <v>-6411708</v>
          </cell>
        </row>
        <row r="494">
          <cell r="A494">
            <v>487</v>
          </cell>
          <cell r="B494">
            <v>35917</v>
          </cell>
          <cell r="C494" t="str">
            <v>収納ＢＯＸ、消臭剤</v>
          </cell>
          <cell r="D494" t="str">
            <v>Champ de Herb</v>
          </cell>
          <cell r="E494">
            <v>525</v>
          </cell>
          <cell r="F494" t="str">
            <v>消耗品費</v>
          </cell>
          <cell r="G494">
            <v>100</v>
          </cell>
          <cell r="H494" t="str">
            <v>現金</v>
          </cell>
          <cell r="J494">
            <v>3307</v>
          </cell>
          <cell r="K494">
            <v>-6415015</v>
          </cell>
        </row>
        <row r="495">
          <cell r="A495">
            <v>488</v>
          </cell>
          <cell r="B495">
            <v>35918</v>
          </cell>
          <cell r="C495" t="str">
            <v>亀ｺﾝ永田氏</v>
          </cell>
          <cell r="D495" t="str">
            <v>ＲＡＫＥＲＵ</v>
          </cell>
          <cell r="E495">
            <v>535</v>
          </cell>
          <cell r="F495" t="str">
            <v>会議費</v>
          </cell>
          <cell r="G495">
            <v>100</v>
          </cell>
          <cell r="H495" t="str">
            <v>現金</v>
          </cell>
          <cell r="J495">
            <v>2362</v>
          </cell>
          <cell r="K495">
            <v>-6417377</v>
          </cell>
        </row>
        <row r="496">
          <cell r="A496">
            <v>489</v>
          </cell>
          <cell r="B496">
            <v>35918</v>
          </cell>
          <cell r="C496" t="str">
            <v>茶菓子代</v>
          </cell>
          <cell r="D496" t="str">
            <v>セイフー</v>
          </cell>
          <cell r="E496">
            <v>503</v>
          </cell>
          <cell r="F496" t="str">
            <v>福利厚生費</v>
          </cell>
          <cell r="G496">
            <v>100</v>
          </cell>
          <cell r="H496" t="str">
            <v>現金</v>
          </cell>
          <cell r="J496">
            <v>520</v>
          </cell>
          <cell r="K496">
            <v>-6417897</v>
          </cell>
        </row>
        <row r="497">
          <cell r="A497">
            <v>490</v>
          </cell>
          <cell r="B497">
            <v>35919</v>
          </cell>
          <cell r="C497" t="str">
            <v>茶菓子代</v>
          </cell>
          <cell r="D497" t="str">
            <v>伊勢丹</v>
          </cell>
          <cell r="E497">
            <v>503</v>
          </cell>
          <cell r="F497" t="str">
            <v>福利厚生費</v>
          </cell>
          <cell r="G497">
            <v>100</v>
          </cell>
          <cell r="H497" t="str">
            <v>現金</v>
          </cell>
          <cell r="J497">
            <v>808</v>
          </cell>
          <cell r="K497">
            <v>-6418705</v>
          </cell>
        </row>
        <row r="498">
          <cell r="A498">
            <v>491</v>
          </cell>
          <cell r="B498">
            <v>35919</v>
          </cell>
          <cell r="C498" t="str">
            <v>亀ｺﾝ霞氏</v>
          </cell>
          <cell r="D498" t="str">
            <v>ケンタッキー</v>
          </cell>
          <cell r="E498">
            <v>535</v>
          </cell>
          <cell r="F498" t="str">
            <v>会議費</v>
          </cell>
          <cell r="G498">
            <v>100</v>
          </cell>
          <cell r="H498" t="str">
            <v>現金</v>
          </cell>
          <cell r="J498">
            <v>840</v>
          </cell>
          <cell r="K498">
            <v>-6419545</v>
          </cell>
        </row>
        <row r="499">
          <cell r="A499">
            <v>492</v>
          </cell>
          <cell r="B499">
            <v>35919</v>
          </cell>
          <cell r="C499" t="str">
            <v>夜食代</v>
          </cell>
          <cell r="D499" t="str">
            <v>丸正</v>
          </cell>
          <cell r="E499">
            <v>503</v>
          </cell>
          <cell r="F499" t="str">
            <v>福利厚生費</v>
          </cell>
          <cell r="G499">
            <v>100</v>
          </cell>
          <cell r="H499" t="str">
            <v>現金</v>
          </cell>
          <cell r="J499">
            <v>621</v>
          </cell>
          <cell r="K499">
            <v>-6420166</v>
          </cell>
        </row>
        <row r="500">
          <cell r="A500">
            <v>493</v>
          </cell>
          <cell r="B500">
            <v>35920</v>
          </cell>
          <cell r="C500" t="str">
            <v>お茶代</v>
          </cell>
          <cell r="D500" t="str">
            <v>セイフー</v>
          </cell>
          <cell r="E500">
            <v>503</v>
          </cell>
          <cell r="F500" t="str">
            <v>福利厚生費</v>
          </cell>
          <cell r="G500">
            <v>100</v>
          </cell>
          <cell r="H500" t="str">
            <v>現金</v>
          </cell>
          <cell r="J500">
            <v>617</v>
          </cell>
          <cell r="K500">
            <v>-6420783</v>
          </cell>
        </row>
        <row r="501">
          <cell r="A501">
            <v>494</v>
          </cell>
          <cell r="B501">
            <v>35920</v>
          </cell>
          <cell r="C501" t="str">
            <v>亀ｺﾝ永田氏</v>
          </cell>
          <cell r="D501" t="str">
            <v>京樽</v>
          </cell>
          <cell r="E501">
            <v>535</v>
          </cell>
          <cell r="F501" t="str">
            <v>会議費</v>
          </cell>
          <cell r="G501">
            <v>100</v>
          </cell>
          <cell r="H501" t="str">
            <v>現金</v>
          </cell>
          <cell r="J501">
            <v>2835</v>
          </cell>
          <cell r="K501">
            <v>-6423618</v>
          </cell>
        </row>
        <row r="502">
          <cell r="A502">
            <v>495</v>
          </cell>
          <cell r="B502">
            <v>35920</v>
          </cell>
          <cell r="C502" t="str">
            <v>夜食代</v>
          </cell>
          <cell r="D502" t="str">
            <v>ＬＡＷＳＯＮ</v>
          </cell>
          <cell r="E502">
            <v>503</v>
          </cell>
          <cell r="F502" t="str">
            <v>福利厚生費</v>
          </cell>
          <cell r="G502">
            <v>100</v>
          </cell>
          <cell r="H502" t="str">
            <v>現金</v>
          </cell>
          <cell r="J502">
            <v>759</v>
          </cell>
          <cell r="K502">
            <v>-6424377</v>
          </cell>
        </row>
        <row r="503">
          <cell r="A503">
            <v>496</v>
          </cell>
          <cell r="B503">
            <v>35921</v>
          </cell>
          <cell r="C503" t="str">
            <v>外注費</v>
          </cell>
          <cell r="D503" t="str">
            <v>山口 正則</v>
          </cell>
          <cell r="E503">
            <v>464</v>
          </cell>
          <cell r="F503" t="str">
            <v>外注費</v>
          </cell>
          <cell r="G503">
            <v>114</v>
          </cell>
          <cell r="H503" t="str">
            <v>普通預金</v>
          </cell>
          <cell r="J503">
            <v>360000</v>
          </cell>
          <cell r="K503">
            <v>-6784377</v>
          </cell>
        </row>
        <row r="504">
          <cell r="A504">
            <v>497</v>
          </cell>
          <cell r="B504">
            <v>35921</v>
          </cell>
          <cell r="C504" t="str">
            <v>源泉所得税</v>
          </cell>
          <cell r="D504" t="str">
            <v>山口 正則</v>
          </cell>
          <cell r="E504">
            <v>464</v>
          </cell>
          <cell r="F504" t="str">
            <v>外注費</v>
          </cell>
          <cell r="G504">
            <v>208</v>
          </cell>
          <cell r="H504" t="str">
            <v>預り金</v>
          </cell>
          <cell r="J504">
            <v>40000</v>
          </cell>
          <cell r="K504">
            <v>-6824377</v>
          </cell>
        </row>
        <row r="505">
          <cell r="A505">
            <v>498</v>
          </cell>
          <cell r="B505">
            <v>35921</v>
          </cell>
          <cell r="C505" t="str">
            <v>振り込み手数料</v>
          </cell>
          <cell r="D505" t="str">
            <v>東京三菱Ｂ／Ｋ</v>
          </cell>
          <cell r="E505">
            <v>512</v>
          </cell>
          <cell r="F505" t="str">
            <v>支払手数料</v>
          </cell>
          <cell r="G505">
            <v>114</v>
          </cell>
          <cell r="H505" t="str">
            <v>普通預金</v>
          </cell>
          <cell r="J505">
            <v>472</v>
          </cell>
          <cell r="K505">
            <v>-6824849</v>
          </cell>
        </row>
        <row r="506">
          <cell r="A506">
            <v>499</v>
          </cell>
          <cell r="B506">
            <v>35921</v>
          </cell>
          <cell r="C506" t="str">
            <v>亀ｺﾝ永田氏、竹下氏、霞氏</v>
          </cell>
          <cell r="E506">
            <v>535</v>
          </cell>
          <cell r="F506" t="str">
            <v>会議費</v>
          </cell>
          <cell r="G506">
            <v>100</v>
          </cell>
          <cell r="H506" t="str">
            <v>現金</v>
          </cell>
          <cell r="J506">
            <v>1224</v>
          </cell>
          <cell r="K506">
            <v>-6826073</v>
          </cell>
        </row>
        <row r="507">
          <cell r="A507">
            <v>500</v>
          </cell>
          <cell r="B507">
            <v>35921</v>
          </cell>
          <cell r="C507" t="str">
            <v>便箋、封筒</v>
          </cell>
          <cell r="D507" t="str">
            <v>ＣＬＩＰＳ</v>
          </cell>
          <cell r="E507">
            <v>524</v>
          </cell>
          <cell r="F507" t="str">
            <v>事務消耗品費</v>
          </cell>
          <cell r="G507">
            <v>100</v>
          </cell>
          <cell r="H507" t="str">
            <v>現金</v>
          </cell>
          <cell r="J507">
            <v>714</v>
          </cell>
          <cell r="K507">
            <v>-6826787</v>
          </cell>
        </row>
        <row r="508">
          <cell r="A508">
            <v>501</v>
          </cell>
          <cell r="B508">
            <v>35921</v>
          </cell>
          <cell r="C508" t="str">
            <v>夜食代</v>
          </cell>
          <cell r="D508" t="str">
            <v>丸正</v>
          </cell>
          <cell r="E508">
            <v>503</v>
          </cell>
          <cell r="F508" t="str">
            <v>福利厚生費</v>
          </cell>
          <cell r="G508">
            <v>100</v>
          </cell>
          <cell r="H508" t="str">
            <v>現金</v>
          </cell>
          <cell r="J508">
            <v>1113</v>
          </cell>
          <cell r="K508">
            <v>-6827900</v>
          </cell>
        </row>
        <row r="509">
          <cell r="A509">
            <v>502</v>
          </cell>
          <cell r="B509">
            <v>35922</v>
          </cell>
          <cell r="C509" t="str">
            <v>経営関係</v>
          </cell>
          <cell r="D509" t="str">
            <v>ブックバーン</v>
          </cell>
          <cell r="E509">
            <v>516</v>
          </cell>
          <cell r="F509" t="str">
            <v>図書研究費</v>
          </cell>
          <cell r="G509">
            <v>100</v>
          </cell>
          <cell r="H509" t="str">
            <v>現金</v>
          </cell>
          <cell r="J509">
            <v>1799</v>
          </cell>
          <cell r="K509">
            <v>-6829699</v>
          </cell>
        </row>
        <row r="510">
          <cell r="A510">
            <v>503</v>
          </cell>
          <cell r="B510">
            <v>35922</v>
          </cell>
          <cell r="C510" t="str">
            <v>朝食代</v>
          </cell>
          <cell r="D510" t="str">
            <v>ＬＡＷＳＯＮ</v>
          </cell>
          <cell r="E510">
            <v>503</v>
          </cell>
          <cell r="F510" t="str">
            <v>福利厚生費</v>
          </cell>
          <cell r="G510">
            <v>100</v>
          </cell>
          <cell r="H510" t="str">
            <v>現金</v>
          </cell>
          <cell r="J510">
            <v>1218</v>
          </cell>
          <cell r="K510">
            <v>-6830917</v>
          </cell>
        </row>
        <row r="511">
          <cell r="A511">
            <v>504</v>
          </cell>
          <cell r="B511">
            <v>35922</v>
          </cell>
          <cell r="C511" t="str">
            <v>出金伝票、コピー用紙</v>
          </cell>
          <cell r="D511" t="str">
            <v>ＯＡストアエブリディ</v>
          </cell>
          <cell r="E511">
            <v>524</v>
          </cell>
          <cell r="F511" t="str">
            <v>事務消耗品費</v>
          </cell>
          <cell r="G511">
            <v>100</v>
          </cell>
          <cell r="H511" t="str">
            <v>現金</v>
          </cell>
          <cell r="J511">
            <v>830</v>
          </cell>
          <cell r="K511">
            <v>-6831747</v>
          </cell>
        </row>
        <row r="512">
          <cell r="A512">
            <v>505</v>
          </cell>
          <cell r="B512">
            <v>35922</v>
          </cell>
          <cell r="C512" t="str">
            <v>茶菓子代</v>
          </cell>
          <cell r="D512" t="str">
            <v>ミニストップ</v>
          </cell>
          <cell r="E512">
            <v>503</v>
          </cell>
          <cell r="F512" t="str">
            <v>福利厚生費</v>
          </cell>
          <cell r="G512">
            <v>100</v>
          </cell>
          <cell r="H512" t="str">
            <v>現金</v>
          </cell>
          <cell r="J512">
            <v>570</v>
          </cell>
          <cell r="K512">
            <v>-6832317</v>
          </cell>
        </row>
        <row r="513">
          <cell r="A513">
            <v>506</v>
          </cell>
          <cell r="B513">
            <v>35923</v>
          </cell>
          <cell r="C513" t="str">
            <v>お茶代</v>
          </cell>
          <cell r="D513" t="str">
            <v>伊勢丹</v>
          </cell>
          <cell r="E513">
            <v>503</v>
          </cell>
          <cell r="F513" t="str">
            <v>福利厚生費</v>
          </cell>
          <cell r="G513">
            <v>100</v>
          </cell>
          <cell r="H513" t="str">
            <v>現金</v>
          </cell>
          <cell r="J513">
            <v>600</v>
          </cell>
          <cell r="K513">
            <v>-6832917</v>
          </cell>
        </row>
        <row r="514">
          <cell r="A514">
            <v>507</v>
          </cell>
          <cell r="B514">
            <v>35923</v>
          </cell>
          <cell r="C514" t="str">
            <v>亀ｺﾝ竹下氏</v>
          </cell>
          <cell r="D514" t="str">
            <v>モスバーガ</v>
          </cell>
          <cell r="E514">
            <v>535</v>
          </cell>
          <cell r="F514" t="str">
            <v>会議費</v>
          </cell>
          <cell r="G514">
            <v>100</v>
          </cell>
          <cell r="H514" t="str">
            <v>現金</v>
          </cell>
          <cell r="J514">
            <v>777</v>
          </cell>
          <cell r="K514">
            <v>-6833694</v>
          </cell>
        </row>
        <row r="515">
          <cell r="A515">
            <v>508</v>
          </cell>
          <cell r="B515">
            <v>35923</v>
          </cell>
          <cell r="C515" t="str">
            <v>エディターソフト</v>
          </cell>
          <cell r="D515" t="str">
            <v>ビックパソコン館</v>
          </cell>
          <cell r="E515">
            <v>516</v>
          </cell>
          <cell r="F515" t="str">
            <v>図書研究費</v>
          </cell>
          <cell r="G515">
            <v>100</v>
          </cell>
          <cell r="H515" t="str">
            <v>現金</v>
          </cell>
          <cell r="J515">
            <v>7317</v>
          </cell>
          <cell r="K515">
            <v>-6841011</v>
          </cell>
        </row>
        <row r="516">
          <cell r="A516">
            <v>509</v>
          </cell>
          <cell r="B516">
            <v>35924</v>
          </cell>
          <cell r="C516" t="str">
            <v>夜食代</v>
          </cell>
          <cell r="D516" t="str">
            <v>ＬＡＷＳＯＮ</v>
          </cell>
          <cell r="E516">
            <v>503</v>
          </cell>
          <cell r="F516" t="str">
            <v>福利厚生費</v>
          </cell>
          <cell r="G516">
            <v>100</v>
          </cell>
          <cell r="H516" t="str">
            <v>現金</v>
          </cell>
          <cell r="J516">
            <v>4829</v>
          </cell>
          <cell r="K516">
            <v>-6845840</v>
          </cell>
        </row>
        <row r="517">
          <cell r="A517">
            <v>510</v>
          </cell>
          <cell r="B517">
            <v>35924</v>
          </cell>
          <cell r="C517" t="str">
            <v>昼食代</v>
          </cell>
          <cell r="D517" t="str">
            <v>セブン・イレブン</v>
          </cell>
          <cell r="E517">
            <v>503</v>
          </cell>
          <cell r="F517" t="str">
            <v>福利厚生費</v>
          </cell>
          <cell r="G517">
            <v>100</v>
          </cell>
          <cell r="H517" t="str">
            <v>現金</v>
          </cell>
          <cell r="J517">
            <v>1354</v>
          </cell>
          <cell r="K517">
            <v>-6847194</v>
          </cell>
        </row>
        <row r="518">
          <cell r="A518">
            <v>511</v>
          </cell>
          <cell r="B518">
            <v>35925</v>
          </cell>
          <cell r="C518" t="str">
            <v>夜食代</v>
          </cell>
          <cell r="D518" t="str">
            <v>ＬＡＷＳＯＮ</v>
          </cell>
          <cell r="E518">
            <v>503</v>
          </cell>
          <cell r="F518" t="str">
            <v>福利厚生費</v>
          </cell>
          <cell r="G518">
            <v>100</v>
          </cell>
          <cell r="H518" t="str">
            <v>現金</v>
          </cell>
          <cell r="J518">
            <v>3160</v>
          </cell>
          <cell r="K518">
            <v>-6850354</v>
          </cell>
        </row>
        <row r="519">
          <cell r="A519">
            <v>512</v>
          </cell>
          <cell r="B519">
            <v>35925</v>
          </cell>
          <cell r="C519" t="str">
            <v>お茶代</v>
          </cell>
          <cell r="D519" t="str">
            <v>am pm</v>
          </cell>
          <cell r="E519">
            <v>503</v>
          </cell>
          <cell r="F519" t="str">
            <v>福利厚生費</v>
          </cell>
          <cell r="G519">
            <v>100</v>
          </cell>
          <cell r="H519" t="str">
            <v>現金</v>
          </cell>
          <cell r="J519">
            <v>433</v>
          </cell>
          <cell r="K519">
            <v>-6850787</v>
          </cell>
        </row>
        <row r="520">
          <cell r="A520">
            <v>513</v>
          </cell>
          <cell r="B520">
            <v>35925</v>
          </cell>
          <cell r="C520" t="str">
            <v>経済関係</v>
          </cell>
          <cell r="D520" t="str">
            <v>良文堂書店</v>
          </cell>
          <cell r="E520">
            <v>516</v>
          </cell>
          <cell r="F520" t="str">
            <v>図書研究費</v>
          </cell>
          <cell r="G520">
            <v>100</v>
          </cell>
          <cell r="H520" t="str">
            <v>現金</v>
          </cell>
          <cell r="J520">
            <v>2621</v>
          </cell>
          <cell r="K520">
            <v>-6853408</v>
          </cell>
        </row>
        <row r="521">
          <cell r="A521">
            <v>514</v>
          </cell>
          <cell r="B521">
            <v>35925</v>
          </cell>
          <cell r="C521" t="str">
            <v>亀ｺﾝ宛資料送付代</v>
          </cell>
          <cell r="D521" t="str">
            <v>ヤマト運輸</v>
          </cell>
          <cell r="E521">
            <v>511</v>
          </cell>
          <cell r="F521" t="str">
            <v>運賃</v>
          </cell>
          <cell r="G521">
            <v>100</v>
          </cell>
          <cell r="H521" t="str">
            <v>現金</v>
          </cell>
          <cell r="J521">
            <v>850</v>
          </cell>
          <cell r="K521">
            <v>-6854258</v>
          </cell>
        </row>
        <row r="522">
          <cell r="A522">
            <v>515</v>
          </cell>
          <cell r="B522">
            <v>35926</v>
          </cell>
          <cell r="C522" t="str">
            <v>トイレットペーパー</v>
          </cell>
          <cell r="D522" t="str">
            <v>ニュードラッグ</v>
          </cell>
          <cell r="E522">
            <v>525</v>
          </cell>
          <cell r="F522" t="str">
            <v>消耗品費</v>
          </cell>
          <cell r="G522">
            <v>100</v>
          </cell>
          <cell r="H522" t="str">
            <v>現金</v>
          </cell>
          <cell r="J522">
            <v>1043</v>
          </cell>
          <cell r="K522">
            <v>-6855301</v>
          </cell>
        </row>
        <row r="523">
          <cell r="A523">
            <v>516</v>
          </cell>
          <cell r="B523">
            <v>35927</v>
          </cell>
          <cell r="C523" t="str">
            <v>茶菓子代</v>
          </cell>
          <cell r="D523" t="str">
            <v>ＡＳＡＮＯＹＡ</v>
          </cell>
          <cell r="E523">
            <v>503</v>
          </cell>
          <cell r="F523" t="str">
            <v>福利厚生費</v>
          </cell>
          <cell r="G523">
            <v>100</v>
          </cell>
          <cell r="H523" t="str">
            <v>現金</v>
          </cell>
          <cell r="J523">
            <v>1090</v>
          </cell>
          <cell r="K523">
            <v>-6856391</v>
          </cell>
        </row>
        <row r="524">
          <cell r="A524">
            <v>517</v>
          </cell>
          <cell r="B524">
            <v>35927</v>
          </cell>
          <cell r="C524" t="str">
            <v>お茶代</v>
          </cell>
          <cell r="D524" t="str">
            <v>ＬＡＷＳＯＮ</v>
          </cell>
          <cell r="E524">
            <v>503</v>
          </cell>
          <cell r="F524" t="str">
            <v>福利厚生費</v>
          </cell>
          <cell r="G524">
            <v>100</v>
          </cell>
          <cell r="H524" t="str">
            <v>現金</v>
          </cell>
          <cell r="J524">
            <v>417</v>
          </cell>
          <cell r="K524">
            <v>-6856808</v>
          </cell>
        </row>
        <row r="525">
          <cell r="A525">
            <v>518</v>
          </cell>
          <cell r="B525">
            <v>35927</v>
          </cell>
          <cell r="C525" t="str">
            <v>亀ｺﾝ永田氏</v>
          </cell>
          <cell r="D525" t="str">
            <v>Ｄｅｎｎｙ’Ｓ</v>
          </cell>
          <cell r="E525">
            <v>535</v>
          </cell>
          <cell r="F525" t="str">
            <v>会議費</v>
          </cell>
          <cell r="G525">
            <v>100</v>
          </cell>
          <cell r="H525" t="str">
            <v>現金</v>
          </cell>
          <cell r="J525">
            <v>2437</v>
          </cell>
          <cell r="K525">
            <v>-6859245</v>
          </cell>
        </row>
        <row r="526">
          <cell r="A526">
            <v>519</v>
          </cell>
          <cell r="B526">
            <v>35928</v>
          </cell>
          <cell r="C526" t="str">
            <v>茶菓子代</v>
          </cell>
          <cell r="D526" t="str">
            <v>セブン・イレブン</v>
          </cell>
          <cell r="E526">
            <v>503</v>
          </cell>
          <cell r="F526" t="str">
            <v>福利厚生費</v>
          </cell>
          <cell r="G526">
            <v>100</v>
          </cell>
          <cell r="H526" t="str">
            <v>現金</v>
          </cell>
          <cell r="J526">
            <v>365</v>
          </cell>
          <cell r="K526">
            <v>-6859610</v>
          </cell>
        </row>
        <row r="527">
          <cell r="A527">
            <v>520</v>
          </cell>
          <cell r="B527">
            <v>35928</v>
          </cell>
          <cell r="C527" t="str">
            <v>源泉所得税支払</v>
          </cell>
          <cell r="D527" t="str">
            <v>四谷税務署</v>
          </cell>
          <cell r="E527">
            <v>208</v>
          </cell>
          <cell r="F527" t="str">
            <v>預り金</v>
          </cell>
          <cell r="G527">
            <v>114</v>
          </cell>
          <cell r="H527" t="str">
            <v>普通預金</v>
          </cell>
          <cell r="J527">
            <v>80000</v>
          </cell>
          <cell r="K527">
            <v>-6939610</v>
          </cell>
        </row>
        <row r="528">
          <cell r="A528">
            <v>521</v>
          </cell>
          <cell r="B528">
            <v>35929</v>
          </cell>
          <cell r="C528" t="str">
            <v>夜食代</v>
          </cell>
          <cell r="D528" t="str">
            <v>丸正</v>
          </cell>
          <cell r="E528">
            <v>503</v>
          </cell>
          <cell r="F528" t="str">
            <v>福利厚生費</v>
          </cell>
          <cell r="G528">
            <v>100</v>
          </cell>
          <cell r="H528" t="str">
            <v>現金</v>
          </cell>
          <cell r="J528">
            <v>1066</v>
          </cell>
          <cell r="K528">
            <v>-6940676</v>
          </cell>
        </row>
        <row r="529">
          <cell r="A529">
            <v>522</v>
          </cell>
          <cell r="B529">
            <v>35929</v>
          </cell>
          <cell r="C529" t="str">
            <v>ｺﾝﾋﾟｭｰﾀ雑誌</v>
          </cell>
          <cell r="D529" t="str">
            <v>宮子書店</v>
          </cell>
          <cell r="E529">
            <v>516</v>
          </cell>
          <cell r="F529" t="str">
            <v>図書研究費</v>
          </cell>
          <cell r="G529">
            <v>100</v>
          </cell>
          <cell r="H529" t="str">
            <v>現金</v>
          </cell>
          <cell r="J529">
            <v>250</v>
          </cell>
          <cell r="K529">
            <v>-6940926</v>
          </cell>
        </row>
        <row r="530">
          <cell r="A530">
            <v>523</v>
          </cell>
          <cell r="B530">
            <v>35929</v>
          </cell>
          <cell r="C530" t="str">
            <v>亀ｺﾝ竹下氏</v>
          </cell>
          <cell r="D530" t="str">
            <v>ピジョン</v>
          </cell>
          <cell r="E530">
            <v>535</v>
          </cell>
          <cell r="F530" t="str">
            <v>会議費</v>
          </cell>
          <cell r="G530">
            <v>100</v>
          </cell>
          <cell r="H530" t="str">
            <v>現金</v>
          </cell>
          <cell r="J530">
            <v>4200</v>
          </cell>
          <cell r="K530">
            <v>-6945126</v>
          </cell>
        </row>
        <row r="531">
          <cell r="A531">
            <v>524</v>
          </cell>
          <cell r="B531">
            <v>35930</v>
          </cell>
          <cell r="C531" t="str">
            <v>お茶代</v>
          </cell>
          <cell r="D531" t="str">
            <v>丸正</v>
          </cell>
          <cell r="E531">
            <v>503</v>
          </cell>
          <cell r="F531" t="str">
            <v>福利厚生費</v>
          </cell>
          <cell r="G531">
            <v>100</v>
          </cell>
          <cell r="H531" t="str">
            <v>現金</v>
          </cell>
          <cell r="J531">
            <v>131</v>
          </cell>
          <cell r="K531">
            <v>-6945257</v>
          </cell>
        </row>
        <row r="532">
          <cell r="A532">
            <v>525</v>
          </cell>
          <cell r="B532">
            <v>35930</v>
          </cell>
          <cell r="C532" t="str">
            <v>亀ｺﾝ竹下氏</v>
          </cell>
          <cell r="E532">
            <v>535</v>
          </cell>
          <cell r="F532" t="str">
            <v>会議費</v>
          </cell>
          <cell r="G532">
            <v>100</v>
          </cell>
          <cell r="H532" t="str">
            <v>現金</v>
          </cell>
          <cell r="J532">
            <v>880</v>
          </cell>
          <cell r="K532">
            <v>-6946137</v>
          </cell>
        </row>
        <row r="533">
          <cell r="A533">
            <v>526</v>
          </cell>
          <cell r="B533">
            <v>35930</v>
          </cell>
          <cell r="C533" t="str">
            <v>電話料金</v>
          </cell>
          <cell r="D533" t="str">
            <v>日本テレコム</v>
          </cell>
          <cell r="E533">
            <v>523</v>
          </cell>
          <cell r="F533" t="str">
            <v>通信費</v>
          </cell>
          <cell r="G533">
            <v>114</v>
          </cell>
          <cell r="H533" t="str">
            <v>普通預金</v>
          </cell>
          <cell r="J533">
            <v>73</v>
          </cell>
          <cell r="K533">
            <v>-6946210</v>
          </cell>
        </row>
        <row r="534">
          <cell r="A534">
            <v>527</v>
          </cell>
          <cell r="B534">
            <v>35930</v>
          </cell>
          <cell r="C534" t="str">
            <v>電話料金</v>
          </cell>
          <cell r="D534" t="str">
            <v>NTT</v>
          </cell>
          <cell r="E534">
            <v>523</v>
          </cell>
          <cell r="F534" t="str">
            <v>通信費</v>
          </cell>
          <cell r="G534">
            <v>114</v>
          </cell>
          <cell r="H534" t="str">
            <v>普通預金</v>
          </cell>
          <cell r="J534">
            <v>3979</v>
          </cell>
          <cell r="K534">
            <v>-6950189</v>
          </cell>
        </row>
        <row r="535">
          <cell r="A535">
            <v>528</v>
          </cell>
          <cell r="B535">
            <v>35931</v>
          </cell>
          <cell r="C535" t="str">
            <v>ｺﾝﾋﾟｭｰﾀ関係</v>
          </cell>
          <cell r="D535" t="str">
            <v>あおい書店</v>
          </cell>
          <cell r="E535">
            <v>516</v>
          </cell>
          <cell r="F535" t="str">
            <v>図書研究費</v>
          </cell>
          <cell r="G535">
            <v>100</v>
          </cell>
          <cell r="H535" t="str">
            <v>現金</v>
          </cell>
          <cell r="J535">
            <v>3944</v>
          </cell>
          <cell r="K535">
            <v>-6954133</v>
          </cell>
        </row>
        <row r="536">
          <cell r="A536">
            <v>529</v>
          </cell>
          <cell r="B536">
            <v>35931</v>
          </cell>
          <cell r="C536" t="str">
            <v>栄養ドリンク</v>
          </cell>
          <cell r="D536" t="str">
            <v>鈴井薬局</v>
          </cell>
          <cell r="E536">
            <v>503</v>
          </cell>
          <cell r="F536" t="str">
            <v>福利厚生費</v>
          </cell>
          <cell r="G536">
            <v>100</v>
          </cell>
          <cell r="H536" t="str">
            <v>現金</v>
          </cell>
          <cell r="J536">
            <v>1524</v>
          </cell>
          <cell r="K536">
            <v>-6955657</v>
          </cell>
        </row>
        <row r="537">
          <cell r="A537">
            <v>530</v>
          </cell>
          <cell r="B537">
            <v>35931</v>
          </cell>
          <cell r="C537" t="str">
            <v>昼食代</v>
          </cell>
          <cell r="D537" t="str">
            <v>サンクック</v>
          </cell>
          <cell r="E537">
            <v>503</v>
          </cell>
          <cell r="F537" t="str">
            <v>福利厚生費</v>
          </cell>
          <cell r="G537">
            <v>100</v>
          </cell>
          <cell r="H537" t="str">
            <v>現金</v>
          </cell>
          <cell r="J537">
            <v>2063</v>
          </cell>
          <cell r="K537">
            <v>-6957720</v>
          </cell>
        </row>
        <row r="538">
          <cell r="A538">
            <v>531</v>
          </cell>
          <cell r="B538">
            <v>35931</v>
          </cell>
          <cell r="C538" t="str">
            <v>茶菓子代</v>
          </cell>
          <cell r="D538" t="str">
            <v>一口茶屋</v>
          </cell>
          <cell r="E538">
            <v>503</v>
          </cell>
          <cell r="F538" t="str">
            <v>福利厚生費</v>
          </cell>
          <cell r="G538">
            <v>100</v>
          </cell>
          <cell r="H538" t="str">
            <v>現金</v>
          </cell>
          <cell r="J538">
            <v>370</v>
          </cell>
          <cell r="K538">
            <v>-6958090</v>
          </cell>
        </row>
        <row r="539">
          <cell r="A539">
            <v>532</v>
          </cell>
          <cell r="B539">
            <v>35931</v>
          </cell>
          <cell r="C539" t="str">
            <v>亀ｺﾝ霞氏</v>
          </cell>
          <cell r="D539" t="str">
            <v>大黒屋</v>
          </cell>
          <cell r="E539">
            <v>535</v>
          </cell>
          <cell r="F539" t="str">
            <v>会議費</v>
          </cell>
          <cell r="G539">
            <v>100</v>
          </cell>
          <cell r="H539" t="str">
            <v>現金</v>
          </cell>
          <cell r="J539">
            <v>4305</v>
          </cell>
          <cell r="K539">
            <v>-6962395</v>
          </cell>
        </row>
        <row r="540">
          <cell r="A540">
            <v>533</v>
          </cell>
          <cell r="B540">
            <v>35932</v>
          </cell>
          <cell r="C540" t="str">
            <v>夜食代</v>
          </cell>
          <cell r="D540" t="str">
            <v>セブン・イレブン</v>
          </cell>
          <cell r="E540">
            <v>503</v>
          </cell>
          <cell r="F540" t="str">
            <v>福利厚生費</v>
          </cell>
          <cell r="G540">
            <v>100</v>
          </cell>
          <cell r="H540" t="str">
            <v>現金</v>
          </cell>
          <cell r="J540">
            <v>848</v>
          </cell>
          <cell r="K540">
            <v>-6963243</v>
          </cell>
        </row>
        <row r="541">
          <cell r="A541">
            <v>534</v>
          </cell>
          <cell r="B541">
            <v>35932</v>
          </cell>
          <cell r="C541" t="str">
            <v>電球</v>
          </cell>
          <cell r="D541" t="str">
            <v>セイフー</v>
          </cell>
          <cell r="E541">
            <v>525</v>
          </cell>
          <cell r="F541" t="str">
            <v>消耗品費</v>
          </cell>
          <cell r="G541">
            <v>100</v>
          </cell>
          <cell r="H541" t="str">
            <v>現金</v>
          </cell>
          <cell r="J541">
            <v>1239</v>
          </cell>
          <cell r="K541">
            <v>-6964482</v>
          </cell>
        </row>
        <row r="542">
          <cell r="A542">
            <v>535</v>
          </cell>
          <cell r="B542">
            <v>35932</v>
          </cell>
          <cell r="C542" t="str">
            <v>お茶代</v>
          </cell>
          <cell r="D542" t="str">
            <v>セイフー</v>
          </cell>
          <cell r="E542">
            <v>503</v>
          </cell>
          <cell r="F542" t="str">
            <v>福利厚生費</v>
          </cell>
          <cell r="G542">
            <v>100</v>
          </cell>
          <cell r="H542" t="str">
            <v>現金</v>
          </cell>
          <cell r="J542">
            <v>271</v>
          </cell>
          <cell r="K542">
            <v>-6964753</v>
          </cell>
        </row>
        <row r="543">
          <cell r="A543">
            <v>536</v>
          </cell>
          <cell r="B543">
            <v>35932</v>
          </cell>
          <cell r="C543" t="str">
            <v>亀ｺﾝ加藤氏</v>
          </cell>
          <cell r="D543" t="str">
            <v>フレッシュネスバーガー</v>
          </cell>
          <cell r="E543">
            <v>535</v>
          </cell>
          <cell r="F543" t="str">
            <v>会議費</v>
          </cell>
          <cell r="G543">
            <v>100</v>
          </cell>
          <cell r="H543" t="str">
            <v>現金</v>
          </cell>
          <cell r="J543">
            <v>1438</v>
          </cell>
          <cell r="K543">
            <v>-6966191</v>
          </cell>
        </row>
        <row r="544">
          <cell r="A544">
            <v>537</v>
          </cell>
          <cell r="B544">
            <v>35933</v>
          </cell>
          <cell r="C544" t="str">
            <v>水道料金</v>
          </cell>
          <cell r="D544" t="str">
            <v>東京水道局</v>
          </cell>
          <cell r="E544">
            <v>530</v>
          </cell>
          <cell r="F544" t="str">
            <v>水道光熱費</v>
          </cell>
          <cell r="G544">
            <v>114</v>
          </cell>
          <cell r="H544" t="str">
            <v>普通預金</v>
          </cell>
          <cell r="J544">
            <v>4978</v>
          </cell>
          <cell r="K544">
            <v>-6971169</v>
          </cell>
        </row>
        <row r="545">
          <cell r="A545">
            <v>538</v>
          </cell>
          <cell r="B545">
            <v>35933</v>
          </cell>
          <cell r="C545" t="str">
            <v>亀ｺﾝ霞氏</v>
          </cell>
          <cell r="E545">
            <v>535</v>
          </cell>
          <cell r="F545" t="str">
            <v>会議費</v>
          </cell>
          <cell r="G545">
            <v>100</v>
          </cell>
          <cell r="H545" t="str">
            <v>現金</v>
          </cell>
          <cell r="J545">
            <v>600</v>
          </cell>
          <cell r="K545">
            <v>-6971769</v>
          </cell>
        </row>
        <row r="546">
          <cell r="A546">
            <v>539</v>
          </cell>
          <cell r="B546">
            <v>35933</v>
          </cell>
          <cell r="C546" t="str">
            <v>電気料金</v>
          </cell>
          <cell r="D546" t="str">
            <v>東京電力</v>
          </cell>
          <cell r="E546">
            <v>530</v>
          </cell>
          <cell r="F546" t="str">
            <v>水道光熱費</v>
          </cell>
          <cell r="G546">
            <v>114</v>
          </cell>
          <cell r="H546" t="str">
            <v>普通預金</v>
          </cell>
          <cell r="J546">
            <v>5575</v>
          </cell>
          <cell r="K546">
            <v>-6977344</v>
          </cell>
        </row>
        <row r="547">
          <cell r="A547">
            <v>540</v>
          </cell>
          <cell r="B547">
            <v>35934</v>
          </cell>
          <cell r="C547" t="str">
            <v>昼食代</v>
          </cell>
          <cell r="D547" t="str">
            <v>ＬＡＷＳＯＮ</v>
          </cell>
          <cell r="E547">
            <v>503</v>
          </cell>
          <cell r="F547" t="str">
            <v>福利厚生費</v>
          </cell>
          <cell r="G547">
            <v>100</v>
          </cell>
          <cell r="H547" t="str">
            <v>現金</v>
          </cell>
          <cell r="J547">
            <v>1619</v>
          </cell>
          <cell r="K547">
            <v>-6978963</v>
          </cell>
        </row>
        <row r="548">
          <cell r="A548">
            <v>541</v>
          </cell>
          <cell r="B548">
            <v>35934</v>
          </cell>
          <cell r="C548" t="str">
            <v>ファイル、書類入れ</v>
          </cell>
          <cell r="D548" t="str">
            <v>紀伊国屋書店</v>
          </cell>
          <cell r="E548">
            <v>524</v>
          </cell>
          <cell r="F548" t="str">
            <v>事務消耗品費</v>
          </cell>
          <cell r="G548">
            <v>100</v>
          </cell>
          <cell r="H548" t="str">
            <v>現金</v>
          </cell>
          <cell r="J548">
            <v>10836</v>
          </cell>
          <cell r="K548">
            <v>-6989799</v>
          </cell>
        </row>
        <row r="549">
          <cell r="A549">
            <v>542</v>
          </cell>
          <cell r="B549">
            <v>35934</v>
          </cell>
          <cell r="C549" t="str">
            <v>亀ｺﾝ加藤氏</v>
          </cell>
          <cell r="D549" t="str">
            <v>モスバーガ</v>
          </cell>
          <cell r="E549">
            <v>535</v>
          </cell>
          <cell r="F549" t="str">
            <v>会議費</v>
          </cell>
          <cell r="G549">
            <v>100</v>
          </cell>
          <cell r="H549" t="str">
            <v>現金</v>
          </cell>
          <cell r="J549">
            <v>735</v>
          </cell>
          <cell r="K549">
            <v>-6990534</v>
          </cell>
        </row>
        <row r="550">
          <cell r="A550">
            <v>543</v>
          </cell>
          <cell r="B550">
            <v>35935</v>
          </cell>
          <cell r="C550" t="str">
            <v>亀ｺﾝ永田氏</v>
          </cell>
          <cell r="D550" t="str">
            <v>Ｄｅｎｎｙ’Ｓ</v>
          </cell>
          <cell r="E550">
            <v>535</v>
          </cell>
          <cell r="F550" t="str">
            <v>会議費</v>
          </cell>
          <cell r="G550">
            <v>100</v>
          </cell>
          <cell r="H550" t="str">
            <v>現金</v>
          </cell>
          <cell r="J550">
            <v>3176</v>
          </cell>
          <cell r="K550">
            <v>-6993710</v>
          </cell>
        </row>
        <row r="551">
          <cell r="A551">
            <v>544</v>
          </cell>
          <cell r="B551">
            <v>35935</v>
          </cell>
          <cell r="C551" t="str">
            <v>お茶代</v>
          </cell>
          <cell r="D551" t="str">
            <v>am pm</v>
          </cell>
          <cell r="E551">
            <v>503</v>
          </cell>
          <cell r="F551" t="str">
            <v>福利厚生費</v>
          </cell>
          <cell r="G551">
            <v>100</v>
          </cell>
          <cell r="H551" t="str">
            <v>現金</v>
          </cell>
          <cell r="J551">
            <v>249</v>
          </cell>
          <cell r="K551">
            <v>-6993959</v>
          </cell>
        </row>
        <row r="552">
          <cell r="A552">
            <v>545</v>
          </cell>
          <cell r="B552">
            <v>35935</v>
          </cell>
          <cell r="C552" t="str">
            <v>昼食代</v>
          </cell>
          <cell r="E552">
            <v>503</v>
          </cell>
          <cell r="F552" t="str">
            <v>福利厚生費</v>
          </cell>
          <cell r="G552">
            <v>100</v>
          </cell>
          <cell r="H552" t="str">
            <v>現金</v>
          </cell>
          <cell r="J552">
            <v>1140</v>
          </cell>
          <cell r="K552">
            <v>-6995099</v>
          </cell>
        </row>
        <row r="553">
          <cell r="A553">
            <v>546</v>
          </cell>
          <cell r="B553">
            <v>35935</v>
          </cell>
          <cell r="C553" t="str">
            <v>洗剤</v>
          </cell>
          <cell r="D553" t="str">
            <v>ニュードラッグ</v>
          </cell>
          <cell r="E553">
            <v>525</v>
          </cell>
          <cell r="F553" t="str">
            <v>消耗品費</v>
          </cell>
          <cell r="G553">
            <v>100</v>
          </cell>
          <cell r="H553" t="str">
            <v>現金</v>
          </cell>
          <cell r="J553">
            <v>672</v>
          </cell>
          <cell r="K553">
            <v>-6995771</v>
          </cell>
        </row>
        <row r="554">
          <cell r="A554">
            <v>547</v>
          </cell>
          <cell r="B554">
            <v>35936</v>
          </cell>
          <cell r="C554" t="str">
            <v>お茶代</v>
          </cell>
          <cell r="D554" t="str">
            <v>ＬＡＷＳＯＮ</v>
          </cell>
          <cell r="E554">
            <v>503</v>
          </cell>
          <cell r="F554" t="str">
            <v>福利厚生費</v>
          </cell>
          <cell r="G554">
            <v>100</v>
          </cell>
          <cell r="H554" t="str">
            <v>現金</v>
          </cell>
          <cell r="J554">
            <v>157</v>
          </cell>
          <cell r="K554">
            <v>-6995928</v>
          </cell>
        </row>
        <row r="555">
          <cell r="A555">
            <v>548</v>
          </cell>
          <cell r="B555">
            <v>35936</v>
          </cell>
          <cell r="C555" t="str">
            <v>茶菓子代</v>
          </cell>
          <cell r="D555" t="str">
            <v>ファミリーマート</v>
          </cell>
          <cell r="E555">
            <v>503</v>
          </cell>
          <cell r="F555" t="str">
            <v>福利厚生費</v>
          </cell>
          <cell r="G555">
            <v>100</v>
          </cell>
          <cell r="H555" t="str">
            <v>現金</v>
          </cell>
          <cell r="J555">
            <v>585</v>
          </cell>
          <cell r="K555">
            <v>-6996513</v>
          </cell>
        </row>
        <row r="556">
          <cell r="A556">
            <v>549</v>
          </cell>
          <cell r="B556">
            <v>35937</v>
          </cell>
          <cell r="C556" t="str">
            <v>照明、電気コード</v>
          </cell>
          <cell r="D556" t="str">
            <v>ビッグ１</v>
          </cell>
          <cell r="E556">
            <v>525</v>
          </cell>
          <cell r="F556" t="str">
            <v>消耗品費</v>
          </cell>
          <cell r="G556">
            <v>100</v>
          </cell>
          <cell r="H556" t="str">
            <v>現金</v>
          </cell>
          <cell r="J556">
            <v>1239</v>
          </cell>
          <cell r="K556">
            <v>-6997752</v>
          </cell>
        </row>
        <row r="557">
          <cell r="A557">
            <v>550</v>
          </cell>
          <cell r="B557">
            <v>35937</v>
          </cell>
          <cell r="C557" t="str">
            <v>フロッピー代</v>
          </cell>
          <cell r="E557">
            <v>524</v>
          </cell>
          <cell r="F557" t="str">
            <v>事務消耗品費</v>
          </cell>
          <cell r="G557">
            <v>100</v>
          </cell>
          <cell r="H557" t="str">
            <v>現金</v>
          </cell>
          <cell r="J557">
            <v>950</v>
          </cell>
          <cell r="K557">
            <v>-6998702</v>
          </cell>
        </row>
        <row r="558">
          <cell r="A558">
            <v>551</v>
          </cell>
          <cell r="B558">
            <v>35937</v>
          </cell>
          <cell r="C558" t="str">
            <v>タクシー代</v>
          </cell>
          <cell r="D558" t="str">
            <v>コンドルキャブ</v>
          </cell>
          <cell r="E558">
            <v>522</v>
          </cell>
          <cell r="F558" t="str">
            <v>旅費交通費</v>
          </cell>
          <cell r="G558">
            <v>100</v>
          </cell>
          <cell r="H558" t="str">
            <v>現金</v>
          </cell>
          <cell r="J558">
            <v>1140</v>
          </cell>
          <cell r="K558">
            <v>-6999842</v>
          </cell>
        </row>
        <row r="559">
          <cell r="A559">
            <v>552</v>
          </cell>
          <cell r="B559">
            <v>35937</v>
          </cell>
          <cell r="C559" t="str">
            <v>デジタルカメラ</v>
          </cell>
          <cell r="D559" t="str">
            <v>Ｔｚｏｎｅ</v>
          </cell>
          <cell r="E559">
            <v>525</v>
          </cell>
          <cell r="F559" t="str">
            <v>消耗品費</v>
          </cell>
          <cell r="G559">
            <v>100</v>
          </cell>
          <cell r="H559" t="str">
            <v>現金</v>
          </cell>
          <cell r="J559">
            <v>20790</v>
          </cell>
          <cell r="K559">
            <v>-7020632</v>
          </cell>
        </row>
        <row r="560">
          <cell r="A560">
            <v>553</v>
          </cell>
          <cell r="B560">
            <v>35937</v>
          </cell>
          <cell r="C560" t="str">
            <v>6月分家賃</v>
          </cell>
          <cell r="D560" t="str">
            <v>大塚刷毛製造(株)</v>
          </cell>
          <cell r="E560">
            <v>528</v>
          </cell>
          <cell r="F560" t="str">
            <v>地代・家賃</v>
          </cell>
          <cell r="G560">
            <v>100</v>
          </cell>
          <cell r="H560" t="str">
            <v>現金</v>
          </cell>
          <cell r="J560">
            <v>89000</v>
          </cell>
          <cell r="K560">
            <v>-7109632</v>
          </cell>
        </row>
        <row r="561">
          <cell r="A561">
            <v>554</v>
          </cell>
          <cell r="B561">
            <v>35937</v>
          </cell>
          <cell r="C561" t="str">
            <v>顧問報酬料</v>
          </cell>
          <cell r="D561" t="str">
            <v>中川会計事務所</v>
          </cell>
          <cell r="E561">
            <v>537</v>
          </cell>
          <cell r="F561" t="str">
            <v>顧問報酬</v>
          </cell>
          <cell r="G561">
            <v>100</v>
          </cell>
          <cell r="H561" t="str">
            <v>現金</v>
          </cell>
          <cell r="J561">
            <v>14250</v>
          </cell>
          <cell r="K561">
            <v>-7123882</v>
          </cell>
        </row>
        <row r="562">
          <cell r="A562">
            <v>555</v>
          </cell>
          <cell r="B562">
            <v>35937</v>
          </cell>
          <cell r="C562" t="str">
            <v>源泉所得税</v>
          </cell>
          <cell r="D562" t="str">
            <v>中川会計事務所</v>
          </cell>
          <cell r="E562">
            <v>537</v>
          </cell>
          <cell r="F562" t="str">
            <v>顧問報酬</v>
          </cell>
          <cell r="G562">
            <v>208</v>
          </cell>
          <cell r="H562" t="str">
            <v>預り金</v>
          </cell>
          <cell r="J562">
            <v>1500</v>
          </cell>
          <cell r="K562">
            <v>-7125382</v>
          </cell>
        </row>
        <row r="563">
          <cell r="A563">
            <v>556</v>
          </cell>
          <cell r="B563">
            <v>35938</v>
          </cell>
          <cell r="C563" t="str">
            <v>タクシー代</v>
          </cell>
          <cell r="D563" t="str">
            <v>日本交通</v>
          </cell>
          <cell r="E563">
            <v>522</v>
          </cell>
          <cell r="F563" t="str">
            <v>旅費交通費</v>
          </cell>
          <cell r="G563">
            <v>100</v>
          </cell>
          <cell r="H563" t="str">
            <v>現金</v>
          </cell>
          <cell r="J563">
            <v>740</v>
          </cell>
          <cell r="K563">
            <v>-7126122</v>
          </cell>
        </row>
        <row r="564">
          <cell r="A564">
            <v>557</v>
          </cell>
          <cell r="B564">
            <v>35938</v>
          </cell>
          <cell r="C564" t="str">
            <v>亀ｺﾝ永田氏</v>
          </cell>
          <cell r="D564" t="str">
            <v>東海苑</v>
          </cell>
          <cell r="E564">
            <v>535</v>
          </cell>
          <cell r="F564" t="str">
            <v>会議費</v>
          </cell>
          <cell r="G564">
            <v>100</v>
          </cell>
          <cell r="H564" t="str">
            <v>現金</v>
          </cell>
          <cell r="J564">
            <v>5092</v>
          </cell>
          <cell r="K564">
            <v>-7131214</v>
          </cell>
        </row>
        <row r="565">
          <cell r="A565">
            <v>558</v>
          </cell>
          <cell r="B565">
            <v>35939</v>
          </cell>
          <cell r="C565" t="str">
            <v>夜食代</v>
          </cell>
          <cell r="D565" t="str">
            <v>オリジン弁当</v>
          </cell>
          <cell r="E565">
            <v>503</v>
          </cell>
          <cell r="F565" t="str">
            <v>福利厚生費</v>
          </cell>
          <cell r="G565">
            <v>100</v>
          </cell>
          <cell r="H565" t="str">
            <v>現金</v>
          </cell>
          <cell r="J565">
            <v>1796</v>
          </cell>
          <cell r="K565">
            <v>-7133010</v>
          </cell>
        </row>
        <row r="566">
          <cell r="A566">
            <v>559</v>
          </cell>
          <cell r="B566">
            <v>35939</v>
          </cell>
          <cell r="C566" t="str">
            <v>茶菓子代</v>
          </cell>
          <cell r="D566" t="str">
            <v>セブン・イレブン</v>
          </cell>
          <cell r="E566">
            <v>503</v>
          </cell>
          <cell r="F566" t="str">
            <v>福利厚生費</v>
          </cell>
          <cell r="G566">
            <v>100</v>
          </cell>
          <cell r="H566" t="str">
            <v>現金</v>
          </cell>
          <cell r="J566">
            <v>1222</v>
          </cell>
          <cell r="K566">
            <v>-7134232</v>
          </cell>
        </row>
        <row r="567">
          <cell r="A567">
            <v>560</v>
          </cell>
          <cell r="B567">
            <v>35939</v>
          </cell>
          <cell r="C567" t="str">
            <v>ビ・アーム山際社長</v>
          </cell>
          <cell r="D567" t="str">
            <v>カラオケルームいずみ</v>
          </cell>
          <cell r="E567">
            <v>521</v>
          </cell>
          <cell r="F567" t="str">
            <v>接待交際費</v>
          </cell>
          <cell r="G567">
            <v>100</v>
          </cell>
          <cell r="H567" t="str">
            <v>現金</v>
          </cell>
          <cell r="J567">
            <v>10395</v>
          </cell>
          <cell r="K567">
            <v>-7144627</v>
          </cell>
        </row>
        <row r="568">
          <cell r="A568">
            <v>561</v>
          </cell>
          <cell r="B568">
            <v>35940</v>
          </cell>
          <cell r="C568" t="str">
            <v>夜食代</v>
          </cell>
          <cell r="D568" t="str">
            <v>ＬＡＷＳＯＮ</v>
          </cell>
          <cell r="E568">
            <v>503</v>
          </cell>
          <cell r="F568" t="str">
            <v>福利厚生費</v>
          </cell>
          <cell r="G568">
            <v>100</v>
          </cell>
          <cell r="H568" t="str">
            <v>現金</v>
          </cell>
          <cell r="J568">
            <v>2683</v>
          </cell>
          <cell r="K568">
            <v>-7147310</v>
          </cell>
        </row>
        <row r="569">
          <cell r="A569">
            <v>562</v>
          </cell>
          <cell r="B569">
            <v>35940</v>
          </cell>
          <cell r="C569" t="str">
            <v>茶菓子代</v>
          </cell>
          <cell r="D569" t="str">
            <v>ボンドール</v>
          </cell>
          <cell r="E569">
            <v>503</v>
          </cell>
          <cell r="F569" t="str">
            <v>福利厚生費</v>
          </cell>
          <cell r="G569">
            <v>100</v>
          </cell>
          <cell r="H569" t="str">
            <v>現金</v>
          </cell>
          <cell r="J569">
            <v>326</v>
          </cell>
          <cell r="K569">
            <v>-7147636</v>
          </cell>
        </row>
        <row r="570">
          <cell r="A570">
            <v>563</v>
          </cell>
          <cell r="B570">
            <v>35940</v>
          </cell>
          <cell r="C570" t="str">
            <v>お茶代</v>
          </cell>
          <cell r="D570" t="str">
            <v>ファミリーマート</v>
          </cell>
          <cell r="E570">
            <v>503</v>
          </cell>
          <cell r="F570" t="str">
            <v>福利厚生費</v>
          </cell>
          <cell r="G570">
            <v>100</v>
          </cell>
          <cell r="H570" t="str">
            <v>現金</v>
          </cell>
          <cell r="J570">
            <v>157</v>
          </cell>
          <cell r="K570">
            <v>-7147793</v>
          </cell>
        </row>
        <row r="571">
          <cell r="A571">
            <v>564</v>
          </cell>
          <cell r="B571">
            <v>35940</v>
          </cell>
          <cell r="C571" t="str">
            <v>ガス代</v>
          </cell>
          <cell r="D571" t="str">
            <v>東京ガス</v>
          </cell>
          <cell r="E571">
            <v>530</v>
          </cell>
          <cell r="F571" t="str">
            <v>水道光熱費</v>
          </cell>
          <cell r="G571">
            <v>114</v>
          </cell>
          <cell r="H571" t="str">
            <v>普通預金</v>
          </cell>
          <cell r="J571">
            <v>4671</v>
          </cell>
          <cell r="K571">
            <v>-7152464</v>
          </cell>
        </row>
        <row r="572">
          <cell r="A572">
            <v>565</v>
          </cell>
          <cell r="B572">
            <v>35940</v>
          </cell>
          <cell r="C572" t="str">
            <v>夜食代</v>
          </cell>
          <cell r="D572" t="str">
            <v>ＬＡＷＳＯＮ</v>
          </cell>
          <cell r="E572">
            <v>503</v>
          </cell>
          <cell r="F572" t="str">
            <v>福利厚生費</v>
          </cell>
          <cell r="G572">
            <v>100</v>
          </cell>
          <cell r="H572" t="str">
            <v>現金</v>
          </cell>
          <cell r="J572">
            <v>753</v>
          </cell>
          <cell r="K572">
            <v>-7153217</v>
          </cell>
        </row>
        <row r="573">
          <cell r="A573">
            <v>566</v>
          </cell>
          <cell r="B573">
            <v>35941</v>
          </cell>
          <cell r="C573" t="str">
            <v>亀ｺﾝ霞氏・加藤氏</v>
          </cell>
          <cell r="D573" t="str">
            <v>とんかつ和幸</v>
          </cell>
          <cell r="E573">
            <v>535</v>
          </cell>
          <cell r="F573" t="str">
            <v>会議費</v>
          </cell>
          <cell r="G573">
            <v>100</v>
          </cell>
          <cell r="H573" t="str">
            <v>現金</v>
          </cell>
          <cell r="J573">
            <v>4504</v>
          </cell>
          <cell r="K573">
            <v>-7157721</v>
          </cell>
        </row>
        <row r="574">
          <cell r="A574">
            <v>567</v>
          </cell>
          <cell r="B574">
            <v>35942</v>
          </cell>
          <cell r="C574" t="str">
            <v>経営関係</v>
          </cell>
          <cell r="D574" t="str">
            <v>あおい書店</v>
          </cell>
          <cell r="E574">
            <v>516</v>
          </cell>
          <cell r="F574" t="str">
            <v>図書研究費</v>
          </cell>
          <cell r="G574">
            <v>100</v>
          </cell>
          <cell r="H574" t="str">
            <v>現金</v>
          </cell>
          <cell r="J574">
            <v>1500</v>
          </cell>
          <cell r="K574">
            <v>-7159221</v>
          </cell>
        </row>
        <row r="575">
          <cell r="A575">
            <v>568</v>
          </cell>
          <cell r="B575">
            <v>35942</v>
          </cell>
          <cell r="C575" t="str">
            <v>茶菓子代</v>
          </cell>
          <cell r="D575" t="str">
            <v>ＡＳＡＮＯＹＡ</v>
          </cell>
          <cell r="E575">
            <v>503</v>
          </cell>
          <cell r="F575" t="str">
            <v>福利厚生費</v>
          </cell>
          <cell r="G575">
            <v>100</v>
          </cell>
          <cell r="H575" t="str">
            <v>現金</v>
          </cell>
          <cell r="J575">
            <v>280</v>
          </cell>
          <cell r="K575">
            <v>-7159501</v>
          </cell>
        </row>
        <row r="576">
          <cell r="A576">
            <v>569</v>
          </cell>
          <cell r="B576">
            <v>35942</v>
          </cell>
          <cell r="C576" t="str">
            <v>茶菓子代</v>
          </cell>
          <cell r="D576" t="str">
            <v>一口茶屋</v>
          </cell>
          <cell r="E576">
            <v>503</v>
          </cell>
          <cell r="F576" t="str">
            <v>福利厚生費</v>
          </cell>
          <cell r="G576">
            <v>100</v>
          </cell>
          <cell r="H576" t="str">
            <v>現金</v>
          </cell>
          <cell r="J576">
            <v>240</v>
          </cell>
          <cell r="K576">
            <v>-7159741</v>
          </cell>
        </row>
        <row r="577">
          <cell r="A577">
            <v>570</v>
          </cell>
          <cell r="B577">
            <v>35942</v>
          </cell>
          <cell r="C577" t="str">
            <v>夜食代</v>
          </cell>
          <cell r="D577" t="str">
            <v>丸正</v>
          </cell>
          <cell r="E577">
            <v>503</v>
          </cell>
          <cell r="F577" t="str">
            <v>福利厚生費</v>
          </cell>
          <cell r="G577">
            <v>100</v>
          </cell>
          <cell r="H577" t="str">
            <v>現金</v>
          </cell>
          <cell r="J577">
            <v>1075</v>
          </cell>
          <cell r="K577">
            <v>-7160816</v>
          </cell>
        </row>
        <row r="578">
          <cell r="A578">
            <v>571</v>
          </cell>
          <cell r="B578">
            <v>35942</v>
          </cell>
          <cell r="C578" t="str">
            <v>PHS通話料</v>
          </cell>
          <cell r="D578" t="str">
            <v>ＤＤＩポケット</v>
          </cell>
          <cell r="E578">
            <v>523</v>
          </cell>
          <cell r="F578" t="str">
            <v>通信費</v>
          </cell>
          <cell r="G578">
            <v>114</v>
          </cell>
          <cell r="H578" t="str">
            <v>普通預金</v>
          </cell>
          <cell r="J578">
            <v>3864</v>
          </cell>
          <cell r="K578">
            <v>-7164680</v>
          </cell>
        </row>
        <row r="579">
          <cell r="A579">
            <v>572</v>
          </cell>
          <cell r="B579">
            <v>35943</v>
          </cell>
          <cell r="C579" t="str">
            <v>台所用品</v>
          </cell>
          <cell r="D579" t="str">
            <v>東商行</v>
          </cell>
          <cell r="E579">
            <v>525</v>
          </cell>
          <cell r="F579" t="str">
            <v>消耗品費</v>
          </cell>
          <cell r="G579">
            <v>100</v>
          </cell>
          <cell r="H579" t="str">
            <v>現金</v>
          </cell>
          <cell r="J579">
            <v>630</v>
          </cell>
          <cell r="K579">
            <v>-7165310</v>
          </cell>
        </row>
        <row r="580">
          <cell r="A580">
            <v>573</v>
          </cell>
          <cell r="B580">
            <v>35943</v>
          </cell>
          <cell r="C580" t="str">
            <v>洗剤</v>
          </cell>
          <cell r="D580" t="str">
            <v>ｻﾎﾟｰﾄ薬局</v>
          </cell>
          <cell r="E580">
            <v>525</v>
          </cell>
          <cell r="F580" t="str">
            <v>消耗品費</v>
          </cell>
          <cell r="G580">
            <v>100</v>
          </cell>
          <cell r="H580" t="str">
            <v>現金</v>
          </cell>
          <cell r="J580">
            <v>365</v>
          </cell>
          <cell r="K580">
            <v>-7165675</v>
          </cell>
        </row>
        <row r="581">
          <cell r="A581">
            <v>574</v>
          </cell>
          <cell r="B581">
            <v>35943</v>
          </cell>
          <cell r="C581" t="str">
            <v>パンチ</v>
          </cell>
          <cell r="E581">
            <v>524</v>
          </cell>
          <cell r="F581" t="str">
            <v>事務消耗品費</v>
          </cell>
          <cell r="G581">
            <v>100</v>
          </cell>
          <cell r="H581" t="str">
            <v>現金</v>
          </cell>
          <cell r="J581">
            <v>850</v>
          </cell>
          <cell r="K581">
            <v>-7166525</v>
          </cell>
        </row>
        <row r="582">
          <cell r="A582">
            <v>575</v>
          </cell>
          <cell r="B582">
            <v>35943</v>
          </cell>
          <cell r="C582" t="str">
            <v>テッシュペーパー</v>
          </cell>
          <cell r="D582" t="str">
            <v>ニュードラッグ</v>
          </cell>
          <cell r="E582">
            <v>525</v>
          </cell>
          <cell r="F582" t="str">
            <v>消耗品費</v>
          </cell>
          <cell r="G582">
            <v>100</v>
          </cell>
          <cell r="H582" t="str">
            <v>現金</v>
          </cell>
          <cell r="J582">
            <v>268</v>
          </cell>
          <cell r="K582">
            <v>-7166793</v>
          </cell>
        </row>
        <row r="583">
          <cell r="A583">
            <v>576</v>
          </cell>
          <cell r="B583">
            <v>35944</v>
          </cell>
          <cell r="C583" t="str">
            <v>昼食代</v>
          </cell>
          <cell r="D583" t="str">
            <v>ＡＳＡＮＯＹＡ</v>
          </cell>
          <cell r="E583">
            <v>503</v>
          </cell>
          <cell r="F583" t="str">
            <v>福利厚生費</v>
          </cell>
          <cell r="G583">
            <v>100</v>
          </cell>
          <cell r="H583" t="str">
            <v>現金</v>
          </cell>
          <cell r="J583">
            <v>700</v>
          </cell>
          <cell r="K583">
            <v>-7167493</v>
          </cell>
        </row>
        <row r="584">
          <cell r="A584">
            <v>577</v>
          </cell>
          <cell r="B584">
            <v>35945</v>
          </cell>
          <cell r="C584" t="str">
            <v>お茶代</v>
          </cell>
          <cell r="D584" t="str">
            <v>am pm</v>
          </cell>
          <cell r="E584">
            <v>503</v>
          </cell>
          <cell r="F584" t="str">
            <v>福利厚生費</v>
          </cell>
          <cell r="G584">
            <v>100</v>
          </cell>
          <cell r="H584" t="str">
            <v>現金</v>
          </cell>
          <cell r="J584">
            <v>312</v>
          </cell>
          <cell r="K584">
            <v>-7167805</v>
          </cell>
        </row>
        <row r="585">
          <cell r="A585">
            <v>578</v>
          </cell>
          <cell r="B585">
            <v>35945</v>
          </cell>
          <cell r="C585" t="str">
            <v>5月分給料</v>
          </cell>
          <cell r="D585" t="str">
            <v>細川万紀子</v>
          </cell>
          <cell r="E585">
            <v>501</v>
          </cell>
          <cell r="F585" t="str">
            <v>給料手当</v>
          </cell>
          <cell r="G585">
            <v>100</v>
          </cell>
          <cell r="H585" t="str">
            <v>現金</v>
          </cell>
          <cell r="J585">
            <v>463070</v>
          </cell>
          <cell r="K585">
            <v>-7630875</v>
          </cell>
        </row>
        <row r="586">
          <cell r="A586">
            <v>579</v>
          </cell>
          <cell r="B586">
            <v>35945</v>
          </cell>
          <cell r="C586" t="str">
            <v>源泉所得税</v>
          </cell>
          <cell r="D586" t="str">
            <v>細川万紀子</v>
          </cell>
          <cell r="E586">
            <v>501</v>
          </cell>
          <cell r="F586" t="str">
            <v>給料手当</v>
          </cell>
          <cell r="G586">
            <v>208</v>
          </cell>
          <cell r="H586" t="str">
            <v>預り金</v>
          </cell>
          <cell r="J586">
            <v>36930</v>
          </cell>
          <cell r="K586">
            <v>-7667805</v>
          </cell>
        </row>
        <row r="587">
          <cell r="A587">
            <v>580</v>
          </cell>
          <cell r="B587">
            <v>35946</v>
          </cell>
          <cell r="C587" t="str">
            <v>地図</v>
          </cell>
          <cell r="D587" t="str">
            <v>am pm</v>
          </cell>
          <cell r="E587">
            <v>516</v>
          </cell>
          <cell r="F587" t="str">
            <v>図書研究費</v>
          </cell>
          <cell r="G587">
            <v>100</v>
          </cell>
          <cell r="H587" t="str">
            <v>現金</v>
          </cell>
          <cell r="J587">
            <v>579</v>
          </cell>
          <cell r="K587">
            <v>-7668384</v>
          </cell>
        </row>
        <row r="588">
          <cell r="A588">
            <v>581</v>
          </cell>
          <cell r="B588">
            <v>35946</v>
          </cell>
          <cell r="C588" t="str">
            <v>ドリンク剤</v>
          </cell>
          <cell r="D588" t="str">
            <v>am pm</v>
          </cell>
          <cell r="E588">
            <v>503</v>
          </cell>
          <cell r="F588" t="str">
            <v>福利厚生費</v>
          </cell>
          <cell r="G588">
            <v>100</v>
          </cell>
          <cell r="H588" t="str">
            <v>現金</v>
          </cell>
          <cell r="J588">
            <v>462</v>
          </cell>
          <cell r="K588">
            <v>-7668846</v>
          </cell>
        </row>
        <row r="589">
          <cell r="A589">
            <v>582</v>
          </cell>
          <cell r="B589">
            <v>35947</v>
          </cell>
          <cell r="C589" t="str">
            <v>夜食代</v>
          </cell>
          <cell r="D589" t="str">
            <v>オリジン弁当</v>
          </cell>
          <cell r="E589">
            <v>503</v>
          </cell>
          <cell r="F589" t="str">
            <v>福利厚生費</v>
          </cell>
          <cell r="G589">
            <v>100</v>
          </cell>
          <cell r="H589" t="str">
            <v>現金</v>
          </cell>
          <cell r="J589">
            <v>485</v>
          </cell>
          <cell r="K589">
            <v>-7669331</v>
          </cell>
        </row>
        <row r="590">
          <cell r="A590">
            <v>583</v>
          </cell>
          <cell r="B590">
            <v>35947</v>
          </cell>
          <cell r="C590" t="str">
            <v>亀ｺﾝ永田氏</v>
          </cell>
          <cell r="D590" t="str">
            <v>フレッシュネスバーガー</v>
          </cell>
          <cell r="E590">
            <v>535</v>
          </cell>
          <cell r="F590" t="str">
            <v>会議費</v>
          </cell>
          <cell r="G590">
            <v>100</v>
          </cell>
          <cell r="H590" t="str">
            <v>現金</v>
          </cell>
          <cell r="J590">
            <v>1280</v>
          </cell>
          <cell r="K590">
            <v>-7670611</v>
          </cell>
        </row>
        <row r="591">
          <cell r="A591">
            <v>584</v>
          </cell>
          <cell r="B591">
            <v>35947</v>
          </cell>
          <cell r="C591" t="str">
            <v>お茶代</v>
          </cell>
          <cell r="D591" t="str">
            <v>ローソン</v>
          </cell>
          <cell r="E591">
            <v>503</v>
          </cell>
          <cell r="F591" t="str">
            <v>福利厚生費</v>
          </cell>
          <cell r="G591">
            <v>100</v>
          </cell>
          <cell r="H591" t="str">
            <v>現金</v>
          </cell>
          <cell r="J591">
            <v>795</v>
          </cell>
          <cell r="K591">
            <v>-7671406</v>
          </cell>
        </row>
        <row r="592">
          <cell r="A592">
            <v>585</v>
          </cell>
          <cell r="B592">
            <v>35948</v>
          </cell>
          <cell r="C592" t="str">
            <v>茶菓子代</v>
          </cell>
          <cell r="D592" t="str">
            <v>丸正</v>
          </cell>
          <cell r="E592">
            <v>503</v>
          </cell>
          <cell r="F592" t="str">
            <v>福利厚生費</v>
          </cell>
          <cell r="G592">
            <v>100</v>
          </cell>
          <cell r="H592" t="str">
            <v>現金</v>
          </cell>
          <cell r="J592">
            <v>655</v>
          </cell>
          <cell r="K592">
            <v>-7672061</v>
          </cell>
        </row>
        <row r="593">
          <cell r="A593">
            <v>586</v>
          </cell>
          <cell r="B593">
            <v>35949</v>
          </cell>
          <cell r="C593" t="str">
            <v>茶菓子代</v>
          </cell>
          <cell r="D593" t="str">
            <v>サントク</v>
          </cell>
          <cell r="E593">
            <v>503</v>
          </cell>
          <cell r="F593" t="str">
            <v>福利厚生費</v>
          </cell>
          <cell r="G593">
            <v>100</v>
          </cell>
          <cell r="H593" t="str">
            <v>現金</v>
          </cell>
          <cell r="J593">
            <v>472</v>
          </cell>
          <cell r="K593">
            <v>-7672533</v>
          </cell>
        </row>
        <row r="594">
          <cell r="B594">
            <v>35949</v>
          </cell>
          <cell r="C594" t="str">
            <v>外注費</v>
          </cell>
          <cell r="D594" t="str">
            <v>永田浩一</v>
          </cell>
          <cell r="E594">
            <v>464</v>
          </cell>
          <cell r="F594" t="str">
            <v>外注費</v>
          </cell>
          <cell r="G594">
            <v>114</v>
          </cell>
          <cell r="H594" t="str">
            <v>普通預金</v>
          </cell>
          <cell r="J594">
            <v>900000</v>
          </cell>
          <cell r="K594">
            <v>-8572533</v>
          </cell>
        </row>
        <row r="595">
          <cell r="B595">
            <v>35949</v>
          </cell>
          <cell r="C595" t="str">
            <v>外注費</v>
          </cell>
          <cell r="D595" t="str">
            <v>永田浩一</v>
          </cell>
          <cell r="E595">
            <v>208</v>
          </cell>
          <cell r="F595" t="str">
            <v>預り金</v>
          </cell>
          <cell r="G595">
            <v>114</v>
          </cell>
          <cell r="H595" t="str">
            <v>普通預金</v>
          </cell>
          <cell r="J595">
            <v>100000</v>
          </cell>
          <cell r="K595">
            <v>-8672533</v>
          </cell>
        </row>
        <row r="596">
          <cell r="B596">
            <v>35949</v>
          </cell>
          <cell r="C596" t="str">
            <v>外注費</v>
          </cell>
          <cell r="D596" t="str">
            <v>山口正則</v>
          </cell>
          <cell r="E596">
            <v>464</v>
          </cell>
          <cell r="F596" t="str">
            <v>外注費</v>
          </cell>
          <cell r="G596">
            <v>114</v>
          </cell>
          <cell r="H596" t="str">
            <v>普通預金</v>
          </cell>
          <cell r="J596">
            <v>360000</v>
          </cell>
          <cell r="K596">
            <v>-9032533</v>
          </cell>
        </row>
        <row r="597">
          <cell r="B597">
            <v>35949</v>
          </cell>
          <cell r="C597" t="str">
            <v>外注費</v>
          </cell>
          <cell r="D597" t="str">
            <v>山口正則</v>
          </cell>
          <cell r="E597">
            <v>208</v>
          </cell>
          <cell r="F597" t="str">
            <v>預り金</v>
          </cell>
          <cell r="G597">
            <v>114</v>
          </cell>
          <cell r="H597" t="str">
            <v>普通預金</v>
          </cell>
          <cell r="J597">
            <v>40000</v>
          </cell>
          <cell r="K597">
            <v>-9072533</v>
          </cell>
        </row>
        <row r="598">
          <cell r="B598">
            <v>35949</v>
          </cell>
          <cell r="C598" t="str">
            <v>支払手数料</v>
          </cell>
          <cell r="D598" t="str">
            <v>東京三菱Ｂ／Ｋ</v>
          </cell>
          <cell r="E598">
            <v>512</v>
          </cell>
          <cell r="F598" t="str">
            <v>支払手数料</v>
          </cell>
          <cell r="G598">
            <v>114</v>
          </cell>
          <cell r="H598" t="str">
            <v>普通預金</v>
          </cell>
          <cell r="J598">
            <v>472</v>
          </cell>
          <cell r="K598">
            <v>-9073005</v>
          </cell>
        </row>
        <row r="599">
          <cell r="A599">
            <v>587</v>
          </cell>
          <cell r="B599">
            <v>35950</v>
          </cell>
          <cell r="C599" t="str">
            <v>お茶代</v>
          </cell>
          <cell r="D599" t="str">
            <v>ローソン</v>
          </cell>
          <cell r="E599">
            <v>503</v>
          </cell>
          <cell r="F599" t="str">
            <v>福利厚生費</v>
          </cell>
          <cell r="G599">
            <v>100</v>
          </cell>
          <cell r="H599" t="str">
            <v>現金</v>
          </cell>
          <cell r="J599">
            <v>654</v>
          </cell>
          <cell r="K599">
            <v>-9073659</v>
          </cell>
        </row>
        <row r="600">
          <cell r="A600">
            <v>588</v>
          </cell>
          <cell r="B600">
            <v>35950</v>
          </cell>
          <cell r="C600" t="str">
            <v>登記謄本 印紙代</v>
          </cell>
          <cell r="D600" t="str">
            <v>吉村印紙売捌所</v>
          </cell>
          <cell r="E600">
            <v>526</v>
          </cell>
          <cell r="F600" t="str">
            <v>租税公課</v>
          </cell>
          <cell r="G600">
            <v>100</v>
          </cell>
          <cell r="H600" t="str">
            <v>現金</v>
          </cell>
          <cell r="J600">
            <v>1000</v>
          </cell>
          <cell r="K600">
            <v>-9074659</v>
          </cell>
        </row>
        <row r="601">
          <cell r="A601">
            <v>589</v>
          </cell>
          <cell r="B601">
            <v>35951</v>
          </cell>
          <cell r="C601" t="str">
            <v>亀ｺﾝ 竹下氏</v>
          </cell>
          <cell r="D601" t="str">
            <v>モスバーガ</v>
          </cell>
          <cell r="E601">
            <v>535</v>
          </cell>
          <cell r="F601" t="str">
            <v>会議費</v>
          </cell>
          <cell r="G601">
            <v>100</v>
          </cell>
          <cell r="H601" t="str">
            <v>現金</v>
          </cell>
          <cell r="J601">
            <v>672</v>
          </cell>
          <cell r="K601">
            <v>-9075331</v>
          </cell>
        </row>
        <row r="602">
          <cell r="A602">
            <v>590</v>
          </cell>
          <cell r="B602">
            <v>35951</v>
          </cell>
          <cell r="C602" t="str">
            <v>消しゴム・メモ帳</v>
          </cell>
          <cell r="E602">
            <v>524</v>
          </cell>
          <cell r="F602" t="str">
            <v>事務消耗品費</v>
          </cell>
          <cell r="G602">
            <v>100</v>
          </cell>
          <cell r="H602" t="str">
            <v>現金</v>
          </cell>
          <cell r="J602">
            <v>315</v>
          </cell>
          <cell r="K602">
            <v>-9075646</v>
          </cell>
        </row>
        <row r="603">
          <cell r="A603">
            <v>591</v>
          </cell>
          <cell r="B603">
            <v>35951</v>
          </cell>
          <cell r="C603" t="str">
            <v>夜食代</v>
          </cell>
          <cell r="D603" t="str">
            <v>オリジン弁当</v>
          </cell>
          <cell r="E603">
            <v>503</v>
          </cell>
          <cell r="F603" t="str">
            <v>福利厚生費</v>
          </cell>
          <cell r="G603">
            <v>100</v>
          </cell>
          <cell r="H603" t="str">
            <v>現金</v>
          </cell>
          <cell r="J603">
            <v>733</v>
          </cell>
          <cell r="K603">
            <v>-9076379</v>
          </cell>
        </row>
        <row r="604">
          <cell r="A604">
            <v>592</v>
          </cell>
          <cell r="B604">
            <v>35951</v>
          </cell>
          <cell r="C604" t="str">
            <v>コピー代</v>
          </cell>
          <cell r="D604" t="str">
            <v>Ｋｉｎｋｏ’ｓ</v>
          </cell>
          <cell r="E604">
            <v>524</v>
          </cell>
          <cell r="F604" t="str">
            <v>事務消耗品費</v>
          </cell>
          <cell r="G604">
            <v>100</v>
          </cell>
          <cell r="H604" t="str">
            <v>現金</v>
          </cell>
          <cell r="J604">
            <v>47</v>
          </cell>
          <cell r="K604">
            <v>-9076426</v>
          </cell>
        </row>
        <row r="605">
          <cell r="A605">
            <v>593</v>
          </cell>
          <cell r="B605">
            <v>35951</v>
          </cell>
          <cell r="C605" t="str">
            <v>お茶代</v>
          </cell>
          <cell r="D605" t="str">
            <v>セイフー</v>
          </cell>
          <cell r="E605">
            <v>503</v>
          </cell>
          <cell r="F605" t="str">
            <v>福利厚生費</v>
          </cell>
          <cell r="G605">
            <v>100</v>
          </cell>
          <cell r="H605" t="str">
            <v>現金</v>
          </cell>
          <cell r="J605">
            <v>239</v>
          </cell>
          <cell r="K605">
            <v>-9076665</v>
          </cell>
        </row>
        <row r="606">
          <cell r="A606">
            <v>594</v>
          </cell>
          <cell r="B606">
            <v>35951</v>
          </cell>
          <cell r="C606" t="str">
            <v>コンピュータ雑誌</v>
          </cell>
          <cell r="D606" t="str">
            <v>丸正</v>
          </cell>
          <cell r="E606">
            <v>516</v>
          </cell>
          <cell r="F606" t="str">
            <v>図書研究費</v>
          </cell>
          <cell r="G606">
            <v>100</v>
          </cell>
          <cell r="H606" t="str">
            <v>現金</v>
          </cell>
          <cell r="J606">
            <v>250</v>
          </cell>
          <cell r="K606">
            <v>-9076915</v>
          </cell>
        </row>
        <row r="607">
          <cell r="A607">
            <v>595</v>
          </cell>
          <cell r="B607">
            <v>35951</v>
          </cell>
          <cell r="C607" t="str">
            <v>コーヒー粉</v>
          </cell>
          <cell r="D607" t="str">
            <v>丸正</v>
          </cell>
          <cell r="E607">
            <v>503</v>
          </cell>
          <cell r="F607" t="str">
            <v>福利厚生費</v>
          </cell>
          <cell r="G607">
            <v>100</v>
          </cell>
          <cell r="H607" t="str">
            <v>現金</v>
          </cell>
          <cell r="J607">
            <v>732</v>
          </cell>
          <cell r="K607">
            <v>-9077647</v>
          </cell>
        </row>
        <row r="608">
          <cell r="A608">
            <v>596</v>
          </cell>
          <cell r="B608">
            <v>35952</v>
          </cell>
          <cell r="C608" t="str">
            <v>ビ・アーム山際社長</v>
          </cell>
          <cell r="D608" t="str">
            <v>味仙荘</v>
          </cell>
          <cell r="E608">
            <v>535</v>
          </cell>
          <cell r="F608" t="str">
            <v>会議費</v>
          </cell>
          <cell r="G608">
            <v>100</v>
          </cell>
          <cell r="H608" t="str">
            <v>現金</v>
          </cell>
          <cell r="J608">
            <v>5208</v>
          </cell>
          <cell r="K608">
            <v>-9082855</v>
          </cell>
        </row>
        <row r="609">
          <cell r="A609">
            <v>597</v>
          </cell>
          <cell r="B609">
            <v>35952</v>
          </cell>
          <cell r="C609" t="str">
            <v>お茶代</v>
          </cell>
          <cell r="D609" t="str">
            <v>ファミリーマート</v>
          </cell>
          <cell r="E609">
            <v>503</v>
          </cell>
          <cell r="F609" t="str">
            <v>福利厚生費</v>
          </cell>
          <cell r="G609">
            <v>100</v>
          </cell>
          <cell r="H609" t="str">
            <v>現金</v>
          </cell>
          <cell r="J609">
            <v>659</v>
          </cell>
          <cell r="K609">
            <v>-9083514</v>
          </cell>
        </row>
        <row r="610">
          <cell r="A610">
            <v>598</v>
          </cell>
          <cell r="B610">
            <v>35953</v>
          </cell>
          <cell r="C610" t="str">
            <v>ビジネス書</v>
          </cell>
          <cell r="D610" t="str">
            <v>西武新宿ぺぺ</v>
          </cell>
          <cell r="E610">
            <v>516</v>
          </cell>
          <cell r="F610" t="str">
            <v>図書研究費</v>
          </cell>
          <cell r="G610">
            <v>100</v>
          </cell>
          <cell r="H610" t="str">
            <v>現金</v>
          </cell>
          <cell r="J610">
            <v>1330</v>
          </cell>
          <cell r="K610">
            <v>-9084844</v>
          </cell>
        </row>
        <row r="611">
          <cell r="A611">
            <v>599</v>
          </cell>
          <cell r="B611">
            <v>35953</v>
          </cell>
          <cell r="C611" t="str">
            <v>ＨＧＰ 緒方氏</v>
          </cell>
          <cell r="D611" t="str">
            <v>大馬鹿地蔵</v>
          </cell>
          <cell r="E611">
            <v>535</v>
          </cell>
          <cell r="F611" t="str">
            <v>会議費</v>
          </cell>
          <cell r="G611">
            <v>100</v>
          </cell>
          <cell r="H611" t="str">
            <v>現金</v>
          </cell>
          <cell r="J611">
            <v>6300</v>
          </cell>
          <cell r="K611">
            <v>-9091144</v>
          </cell>
        </row>
        <row r="612">
          <cell r="A612">
            <v>600</v>
          </cell>
          <cell r="B612">
            <v>35954</v>
          </cell>
          <cell r="C612" t="str">
            <v>お茶代</v>
          </cell>
          <cell r="D612" t="str">
            <v>セイフー</v>
          </cell>
          <cell r="E612">
            <v>503</v>
          </cell>
          <cell r="F612" t="str">
            <v>福利厚生費</v>
          </cell>
          <cell r="G612">
            <v>100</v>
          </cell>
          <cell r="H612" t="str">
            <v>現金</v>
          </cell>
          <cell r="J612">
            <v>560</v>
          </cell>
          <cell r="K612">
            <v>-9091704</v>
          </cell>
        </row>
        <row r="613">
          <cell r="A613">
            <v>601</v>
          </cell>
          <cell r="B613">
            <v>35954</v>
          </cell>
          <cell r="C613" t="str">
            <v>茶菓子代</v>
          </cell>
          <cell r="D613" t="str">
            <v>アンテンドゥ</v>
          </cell>
          <cell r="E613">
            <v>503</v>
          </cell>
          <cell r="F613" t="str">
            <v>福利厚生費</v>
          </cell>
          <cell r="G613">
            <v>100</v>
          </cell>
          <cell r="H613" t="str">
            <v>現金</v>
          </cell>
          <cell r="J613">
            <v>367</v>
          </cell>
          <cell r="K613">
            <v>-9092071</v>
          </cell>
        </row>
        <row r="614">
          <cell r="A614">
            <v>602</v>
          </cell>
          <cell r="B614">
            <v>35954</v>
          </cell>
          <cell r="C614" t="str">
            <v>亀ｺﾝ 霞氏</v>
          </cell>
          <cell r="D614" t="str">
            <v>コロラド</v>
          </cell>
          <cell r="E614">
            <v>535</v>
          </cell>
          <cell r="F614" t="str">
            <v>会議費</v>
          </cell>
          <cell r="G614">
            <v>100</v>
          </cell>
          <cell r="H614" t="str">
            <v>現金</v>
          </cell>
          <cell r="J614">
            <v>1210</v>
          </cell>
          <cell r="K614">
            <v>-9093281</v>
          </cell>
        </row>
        <row r="615">
          <cell r="A615">
            <v>603</v>
          </cell>
          <cell r="B615">
            <v>35955</v>
          </cell>
          <cell r="C615" t="str">
            <v>お茶代</v>
          </cell>
          <cell r="D615" t="str">
            <v>ローソン</v>
          </cell>
          <cell r="E615">
            <v>503</v>
          </cell>
          <cell r="F615" t="str">
            <v>福利厚生費</v>
          </cell>
          <cell r="G615">
            <v>100</v>
          </cell>
          <cell r="H615" t="str">
            <v>現金</v>
          </cell>
          <cell r="J615">
            <v>732</v>
          </cell>
          <cell r="K615">
            <v>-9094013</v>
          </cell>
        </row>
        <row r="616">
          <cell r="A616">
            <v>604</v>
          </cell>
          <cell r="B616">
            <v>35955</v>
          </cell>
          <cell r="C616" t="str">
            <v>亀ｺﾝ永田氏</v>
          </cell>
          <cell r="D616" t="str">
            <v>Ｄｅｎｎｙ’ｓ</v>
          </cell>
          <cell r="E616">
            <v>535</v>
          </cell>
          <cell r="F616" t="str">
            <v>会議費</v>
          </cell>
          <cell r="G616">
            <v>100</v>
          </cell>
          <cell r="H616" t="str">
            <v>現金</v>
          </cell>
          <cell r="J616">
            <v>1085</v>
          </cell>
          <cell r="K616">
            <v>-9095098</v>
          </cell>
        </row>
        <row r="617">
          <cell r="A617">
            <v>605</v>
          </cell>
          <cell r="B617">
            <v>35956</v>
          </cell>
          <cell r="C617" t="str">
            <v>茶菓子代</v>
          </cell>
          <cell r="D617" t="str">
            <v>ＡＳＡＮＯＹＡ</v>
          </cell>
          <cell r="E617">
            <v>503</v>
          </cell>
          <cell r="F617" t="str">
            <v>福利厚生費</v>
          </cell>
          <cell r="G617">
            <v>100</v>
          </cell>
          <cell r="H617" t="str">
            <v>現金</v>
          </cell>
          <cell r="J617">
            <v>850</v>
          </cell>
          <cell r="K617">
            <v>-9095948</v>
          </cell>
        </row>
        <row r="618">
          <cell r="A618">
            <v>606</v>
          </cell>
          <cell r="B618">
            <v>35956</v>
          </cell>
          <cell r="C618" t="str">
            <v>コンピュータ雑誌</v>
          </cell>
          <cell r="D618" t="str">
            <v>あおい書店</v>
          </cell>
          <cell r="E618">
            <v>516</v>
          </cell>
          <cell r="F618" t="str">
            <v>図書研究費</v>
          </cell>
          <cell r="G618">
            <v>100</v>
          </cell>
          <cell r="H618" t="str">
            <v>現金</v>
          </cell>
          <cell r="J618">
            <v>719</v>
          </cell>
          <cell r="K618">
            <v>-9096667</v>
          </cell>
        </row>
        <row r="619">
          <cell r="A619">
            <v>607</v>
          </cell>
          <cell r="B619">
            <v>35956</v>
          </cell>
          <cell r="C619" t="str">
            <v>お茶代</v>
          </cell>
          <cell r="D619" t="str">
            <v>ローソン</v>
          </cell>
          <cell r="E619">
            <v>503</v>
          </cell>
          <cell r="F619" t="str">
            <v>福利厚生費</v>
          </cell>
          <cell r="G619">
            <v>100</v>
          </cell>
          <cell r="H619" t="str">
            <v>現金</v>
          </cell>
          <cell r="J619">
            <v>420</v>
          </cell>
          <cell r="K619">
            <v>-9097087</v>
          </cell>
        </row>
        <row r="620">
          <cell r="B620">
            <v>35956</v>
          </cell>
          <cell r="C620" t="str">
            <v>源泉所得税</v>
          </cell>
          <cell r="D620" t="str">
            <v>四谷税務署</v>
          </cell>
          <cell r="E620">
            <v>208</v>
          </cell>
          <cell r="F620" t="str">
            <v>預り金</v>
          </cell>
          <cell r="G620">
            <v>114</v>
          </cell>
          <cell r="H620" t="str">
            <v>普通預金</v>
          </cell>
          <cell r="J620">
            <v>31500</v>
          </cell>
          <cell r="K620">
            <v>-9128587</v>
          </cell>
        </row>
        <row r="621">
          <cell r="A621">
            <v>608</v>
          </cell>
          <cell r="B621">
            <v>35957</v>
          </cell>
          <cell r="C621" t="str">
            <v>夜食代</v>
          </cell>
          <cell r="D621" t="str">
            <v>オリジン弁当</v>
          </cell>
          <cell r="E621">
            <v>503</v>
          </cell>
          <cell r="F621" t="str">
            <v>福利厚生費</v>
          </cell>
          <cell r="G621">
            <v>100</v>
          </cell>
          <cell r="H621" t="str">
            <v>現金</v>
          </cell>
          <cell r="J621">
            <v>804</v>
          </cell>
          <cell r="K621">
            <v>-9129391</v>
          </cell>
        </row>
        <row r="622">
          <cell r="A622">
            <v>609</v>
          </cell>
          <cell r="B622">
            <v>35958</v>
          </cell>
          <cell r="C622" t="str">
            <v>ＣＤフォルダー</v>
          </cell>
          <cell r="E622">
            <v>524</v>
          </cell>
          <cell r="F622" t="str">
            <v>事務消耗品費</v>
          </cell>
          <cell r="G622">
            <v>100</v>
          </cell>
          <cell r="H622" t="str">
            <v>現金</v>
          </cell>
          <cell r="J622">
            <v>950</v>
          </cell>
          <cell r="K622">
            <v>-9130341</v>
          </cell>
        </row>
        <row r="623">
          <cell r="A623">
            <v>610</v>
          </cell>
          <cell r="B623">
            <v>35958</v>
          </cell>
          <cell r="C623" t="str">
            <v>お茶代</v>
          </cell>
          <cell r="D623" t="str">
            <v>コミュニティストア</v>
          </cell>
          <cell r="E623">
            <v>503</v>
          </cell>
          <cell r="F623" t="str">
            <v>福利厚生費</v>
          </cell>
          <cell r="G623">
            <v>100</v>
          </cell>
          <cell r="H623" t="str">
            <v>現金</v>
          </cell>
          <cell r="J623">
            <v>294</v>
          </cell>
          <cell r="K623">
            <v>-9130635</v>
          </cell>
        </row>
        <row r="624">
          <cell r="A624">
            <v>611</v>
          </cell>
          <cell r="B624">
            <v>35959</v>
          </cell>
          <cell r="C624" t="str">
            <v>茶菓子代</v>
          </cell>
          <cell r="D624" t="str">
            <v>一口茶屋</v>
          </cell>
          <cell r="E624">
            <v>503</v>
          </cell>
          <cell r="F624" t="str">
            <v>福利厚生費</v>
          </cell>
          <cell r="G624">
            <v>100</v>
          </cell>
          <cell r="H624" t="str">
            <v>現金</v>
          </cell>
          <cell r="J624">
            <v>380</v>
          </cell>
          <cell r="K624">
            <v>-9131015</v>
          </cell>
        </row>
        <row r="625">
          <cell r="A625">
            <v>612</v>
          </cell>
          <cell r="B625">
            <v>35959</v>
          </cell>
          <cell r="C625" t="str">
            <v>夜食代</v>
          </cell>
          <cell r="D625" t="str">
            <v>丸正</v>
          </cell>
          <cell r="E625">
            <v>503</v>
          </cell>
          <cell r="F625" t="str">
            <v>福利厚生費</v>
          </cell>
          <cell r="G625">
            <v>100</v>
          </cell>
          <cell r="H625" t="str">
            <v>現金</v>
          </cell>
          <cell r="J625">
            <v>1793</v>
          </cell>
          <cell r="K625">
            <v>-9132808</v>
          </cell>
        </row>
        <row r="626">
          <cell r="A626">
            <v>613</v>
          </cell>
          <cell r="B626">
            <v>35960</v>
          </cell>
          <cell r="C626" t="str">
            <v>タクシー代</v>
          </cell>
          <cell r="D626" t="str">
            <v>染谷交通</v>
          </cell>
          <cell r="E626">
            <v>522</v>
          </cell>
          <cell r="F626" t="str">
            <v>旅費交通費</v>
          </cell>
          <cell r="G626">
            <v>100</v>
          </cell>
          <cell r="H626" t="str">
            <v>現金</v>
          </cell>
          <cell r="J626">
            <v>980</v>
          </cell>
          <cell r="K626">
            <v>-9133788</v>
          </cell>
        </row>
        <row r="627">
          <cell r="A627">
            <v>614</v>
          </cell>
          <cell r="B627">
            <v>35960</v>
          </cell>
          <cell r="C627" t="str">
            <v>お茶代</v>
          </cell>
          <cell r="D627" t="str">
            <v>セイフー</v>
          </cell>
          <cell r="E627">
            <v>503</v>
          </cell>
          <cell r="F627" t="str">
            <v>福利厚生費</v>
          </cell>
          <cell r="G627">
            <v>100</v>
          </cell>
          <cell r="H627" t="str">
            <v>現金</v>
          </cell>
          <cell r="J627">
            <v>462</v>
          </cell>
          <cell r="K627">
            <v>-9134250</v>
          </cell>
        </row>
        <row r="628">
          <cell r="A628">
            <v>615</v>
          </cell>
          <cell r="B628">
            <v>35960</v>
          </cell>
          <cell r="C628" t="str">
            <v>夜食代</v>
          </cell>
          <cell r="D628" t="str">
            <v>ローソン</v>
          </cell>
          <cell r="E628">
            <v>503</v>
          </cell>
          <cell r="F628" t="str">
            <v>福利厚生費</v>
          </cell>
          <cell r="G628">
            <v>100</v>
          </cell>
          <cell r="H628" t="str">
            <v>現金</v>
          </cell>
          <cell r="J628">
            <v>1717</v>
          </cell>
          <cell r="K628">
            <v>-9135967</v>
          </cell>
        </row>
        <row r="629">
          <cell r="A629">
            <v>616</v>
          </cell>
          <cell r="B629">
            <v>35961</v>
          </cell>
          <cell r="C629" t="str">
            <v>トイレットペーパー</v>
          </cell>
          <cell r="D629" t="str">
            <v>ｻﾎﾟｰﾄ薬局</v>
          </cell>
          <cell r="E629">
            <v>525</v>
          </cell>
          <cell r="F629" t="str">
            <v>消耗品費</v>
          </cell>
          <cell r="G629">
            <v>100</v>
          </cell>
          <cell r="H629" t="str">
            <v>現金</v>
          </cell>
          <cell r="J629">
            <v>207</v>
          </cell>
          <cell r="K629">
            <v>-9136174</v>
          </cell>
        </row>
        <row r="630">
          <cell r="A630">
            <v>617</v>
          </cell>
          <cell r="B630">
            <v>35961</v>
          </cell>
          <cell r="C630" t="str">
            <v>夜食代</v>
          </cell>
          <cell r="D630" t="str">
            <v>茶月</v>
          </cell>
          <cell r="E630">
            <v>503</v>
          </cell>
          <cell r="F630" t="str">
            <v>福利厚生費</v>
          </cell>
          <cell r="G630">
            <v>100</v>
          </cell>
          <cell r="H630" t="str">
            <v>現金</v>
          </cell>
          <cell r="J630">
            <v>525</v>
          </cell>
          <cell r="K630">
            <v>-9136699</v>
          </cell>
        </row>
        <row r="631">
          <cell r="A631">
            <v>618</v>
          </cell>
          <cell r="B631">
            <v>35961</v>
          </cell>
          <cell r="C631" t="str">
            <v>お茶代</v>
          </cell>
          <cell r="D631" t="str">
            <v>ローソン</v>
          </cell>
          <cell r="E631">
            <v>503</v>
          </cell>
          <cell r="F631" t="str">
            <v>福利厚生費</v>
          </cell>
          <cell r="G631">
            <v>100</v>
          </cell>
          <cell r="H631" t="str">
            <v>現金</v>
          </cell>
          <cell r="J631">
            <v>1438</v>
          </cell>
          <cell r="K631">
            <v>-9138137</v>
          </cell>
        </row>
        <row r="632">
          <cell r="A632">
            <v>619</v>
          </cell>
          <cell r="B632">
            <v>35961</v>
          </cell>
          <cell r="C632" t="str">
            <v>実用書</v>
          </cell>
          <cell r="D632" t="str">
            <v>あおい書店</v>
          </cell>
          <cell r="E632">
            <v>516</v>
          </cell>
          <cell r="F632" t="str">
            <v>図書研究費</v>
          </cell>
          <cell r="G632">
            <v>100</v>
          </cell>
          <cell r="H632" t="str">
            <v>現金</v>
          </cell>
          <cell r="J632">
            <v>900</v>
          </cell>
          <cell r="K632">
            <v>-9139037</v>
          </cell>
        </row>
        <row r="633">
          <cell r="A633">
            <v>620</v>
          </cell>
          <cell r="B633">
            <v>35961</v>
          </cell>
          <cell r="C633" t="str">
            <v>栄養ドリンク</v>
          </cell>
          <cell r="D633" t="str">
            <v>am pm</v>
          </cell>
          <cell r="E633">
            <v>503</v>
          </cell>
          <cell r="F633" t="str">
            <v>福利厚生費</v>
          </cell>
          <cell r="G633">
            <v>100</v>
          </cell>
          <cell r="H633" t="str">
            <v>現金</v>
          </cell>
          <cell r="J633">
            <v>513</v>
          </cell>
          <cell r="K633">
            <v>-9139550</v>
          </cell>
        </row>
        <row r="634">
          <cell r="B634">
            <v>35961</v>
          </cell>
          <cell r="C634" t="str">
            <v>電話料金</v>
          </cell>
          <cell r="D634" t="str">
            <v>ＮＴＴ</v>
          </cell>
          <cell r="E634">
            <v>523</v>
          </cell>
          <cell r="F634" t="str">
            <v>通信費</v>
          </cell>
          <cell r="G634">
            <v>114</v>
          </cell>
          <cell r="H634" t="str">
            <v>普通預金</v>
          </cell>
          <cell r="J634">
            <v>3286</v>
          </cell>
          <cell r="K634">
            <v>-9142836</v>
          </cell>
        </row>
        <row r="635">
          <cell r="B635">
            <v>35961</v>
          </cell>
          <cell r="C635" t="str">
            <v>電気料金</v>
          </cell>
          <cell r="D635" t="str">
            <v>東京電力</v>
          </cell>
          <cell r="E635">
            <v>530</v>
          </cell>
          <cell r="F635" t="str">
            <v>水道光熱費</v>
          </cell>
          <cell r="G635">
            <v>114</v>
          </cell>
          <cell r="H635" t="str">
            <v>普通預金</v>
          </cell>
          <cell r="J635">
            <v>4399</v>
          </cell>
          <cell r="K635">
            <v>-9147235</v>
          </cell>
        </row>
        <row r="636">
          <cell r="A636">
            <v>621</v>
          </cell>
          <cell r="B636">
            <v>35962</v>
          </cell>
          <cell r="C636" t="str">
            <v>茶菓子代</v>
          </cell>
          <cell r="D636" t="str">
            <v>セブン・イレブン</v>
          </cell>
          <cell r="E636">
            <v>503</v>
          </cell>
          <cell r="F636" t="str">
            <v>福利厚生費</v>
          </cell>
          <cell r="G636">
            <v>100</v>
          </cell>
          <cell r="H636" t="str">
            <v>現金</v>
          </cell>
          <cell r="J636">
            <v>145</v>
          </cell>
          <cell r="K636">
            <v>-9147380</v>
          </cell>
        </row>
        <row r="637">
          <cell r="A637">
            <v>622</v>
          </cell>
          <cell r="B637">
            <v>35962</v>
          </cell>
          <cell r="C637" t="str">
            <v>茶菓子代</v>
          </cell>
          <cell r="D637" t="str">
            <v>サントク</v>
          </cell>
          <cell r="E637">
            <v>503</v>
          </cell>
          <cell r="F637" t="str">
            <v>福利厚生費</v>
          </cell>
          <cell r="G637">
            <v>100</v>
          </cell>
          <cell r="H637" t="str">
            <v>現金</v>
          </cell>
          <cell r="J637">
            <v>409</v>
          </cell>
          <cell r="K637">
            <v>-9147789</v>
          </cell>
        </row>
        <row r="638">
          <cell r="A638">
            <v>623</v>
          </cell>
          <cell r="B638">
            <v>35962</v>
          </cell>
          <cell r="C638" t="str">
            <v>夜食代</v>
          </cell>
          <cell r="D638" t="str">
            <v>てんや</v>
          </cell>
          <cell r="E638">
            <v>503</v>
          </cell>
          <cell r="F638" t="str">
            <v>福利厚生費</v>
          </cell>
          <cell r="G638">
            <v>100</v>
          </cell>
          <cell r="H638" t="str">
            <v>現金</v>
          </cell>
          <cell r="J638">
            <v>472</v>
          </cell>
          <cell r="K638">
            <v>-9148261</v>
          </cell>
        </row>
        <row r="639">
          <cell r="A639">
            <v>624</v>
          </cell>
          <cell r="B639">
            <v>35963</v>
          </cell>
          <cell r="C639" t="str">
            <v>お茶代</v>
          </cell>
          <cell r="D639" t="str">
            <v>セブン・イレブン</v>
          </cell>
          <cell r="E639">
            <v>503</v>
          </cell>
          <cell r="F639" t="str">
            <v>福利厚生費</v>
          </cell>
          <cell r="G639">
            <v>100</v>
          </cell>
          <cell r="H639" t="str">
            <v>現金</v>
          </cell>
          <cell r="J639">
            <v>126</v>
          </cell>
          <cell r="K639">
            <v>-9148387</v>
          </cell>
        </row>
        <row r="640">
          <cell r="A640">
            <v>625</v>
          </cell>
          <cell r="B640">
            <v>35964</v>
          </cell>
          <cell r="C640" t="str">
            <v>夜食代</v>
          </cell>
          <cell r="D640" t="str">
            <v>ローソン</v>
          </cell>
          <cell r="E640">
            <v>503</v>
          </cell>
          <cell r="F640" t="str">
            <v>福利厚生費</v>
          </cell>
          <cell r="G640">
            <v>100</v>
          </cell>
          <cell r="H640" t="str">
            <v>現金</v>
          </cell>
          <cell r="J640">
            <v>1696</v>
          </cell>
          <cell r="K640">
            <v>-9150083</v>
          </cell>
        </row>
        <row r="641">
          <cell r="A641">
            <v>626</v>
          </cell>
          <cell r="B641">
            <v>35964</v>
          </cell>
          <cell r="C641" t="str">
            <v>お茶代</v>
          </cell>
          <cell r="D641" t="str">
            <v>セイフー</v>
          </cell>
          <cell r="E641">
            <v>503</v>
          </cell>
          <cell r="F641" t="str">
            <v>福利厚生費</v>
          </cell>
          <cell r="G641">
            <v>100</v>
          </cell>
          <cell r="H641" t="str">
            <v>現金</v>
          </cell>
          <cell r="J641">
            <v>1377</v>
          </cell>
          <cell r="K641">
            <v>-9151460</v>
          </cell>
        </row>
        <row r="642">
          <cell r="B642">
            <v>35964</v>
          </cell>
          <cell r="C642" t="str">
            <v>源泉所得税</v>
          </cell>
          <cell r="D642" t="str">
            <v>四谷税務署</v>
          </cell>
          <cell r="E642">
            <v>208</v>
          </cell>
          <cell r="F642" t="str">
            <v>預り金</v>
          </cell>
          <cell r="G642">
            <v>114</v>
          </cell>
          <cell r="H642" t="str">
            <v>普通預金</v>
          </cell>
          <cell r="J642">
            <v>354150</v>
          </cell>
          <cell r="K642">
            <v>-9505610</v>
          </cell>
        </row>
        <row r="643">
          <cell r="A643">
            <v>627</v>
          </cell>
          <cell r="B643">
            <v>35965</v>
          </cell>
          <cell r="C643" t="str">
            <v>飲料水</v>
          </cell>
          <cell r="D643" t="str">
            <v>ニュードラッグ</v>
          </cell>
          <cell r="E643">
            <v>503</v>
          </cell>
          <cell r="F643" t="str">
            <v>福利厚生費</v>
          </cell>
          <cell r="G643">
            <v>100</v>
          </cell>
          <cell r="H643" t="str">
            <v>現金</v>
          </cell>
          <cell r="J643">
            <v>176</v>
          </cell>
          <cell r="K643">
            <v>-9505786</v>
          </cell>
        </row>
        <row r="644">
          <cell r="A644">
            <v>628</v>
          </cell>
          <cell r="B644">
            <v>35965</v>
          </cell>
          <cell r="C644" t="str">
            <v>夜食代</v>
          </cell>
          <cell r="D644" t="str">
            <v>丸正</v>
          </cell>
          <cell r="E644">
            <v>503</v>
          </cell>
          <cell r="F644" t="str">
            <v>福利厚生費</v>
          </cell>
          <cell r="G644">
            <v>100</v>
          </cell>
          <cell r="H644" t="str">
            <v>現金</v>
          </cell>
          <cell r="J644">
            <v>1591</v>
          </cell>
          <cell r="K644">
            <v>-9507377</v>
          </cell>
        </row>
        <row r="645">
          <cell r="A645">
            <v>629</v>
          </cell>
          <cell r="B645">
            <v>35965</v>
          </cell>
          <cell r="C645" t="str">
            <v>タクシー代</v>
          </cell>
          <cell r="D645" t="str">
            <v>グリーンキャブ</v>
          </cell>
          <cell r="E645">
            <v>522</v>
          </cell>
          <cell r="F645" t="str">
            <v>旅費交通費</v>
          </cell>
          <cell r="G645">
            <v>100</v>
          </cell>
          <cell r="H645" t="str">
            <v>現金</v>
          </cell>
          <cell r="J645">
            <v>1540</v>
          </cell>
          <cell r="K645">
            <v>-9508917</v>
          </cell>
        </row>
        <row r="646">
          <cell r="A646">
            <v>630</v>
          </cell>
          <cell r="B646">
            <v>35966</v>
          </cell>
          <cell r="C646" t="str">
            <v>ビジネス雑誌</v>
          </cell>
          <cell r="D646" t="str">
            <v>ファミリーマート</v>
          </cell>
          <cell r="E646">
            <v>516</v>
          </cell>
          <cell r="F646" t="str">
            <v>図書研究費</v>
          </cell>
          <cell r="G646">
            <v>100</v>
          </cell>
          <cell r="H646" t="str">
            <v>現金</v>
          </cell>
          <cell r="J646">
            <v>739</v>
          </cell>
          <cell r="K646">
            <v>-9509656</v>
          </cell>
        </row>
        <row r="647">
          <cell r="A647">
            <v>631</v>
          </cell>
          <cell r="B647">
            <v>35966</v>
          </cell>
          <cell r="C647" t="str">
            <v>亀ｺﾝ 加藤氏・山口氏</v>
          </cell>
          <cell r="D647" t="str">
            <v>ＡＪＡＮＴＡ</v>
          </cell>
          <cell r="E647">
            <v>535</v>
          </cell>
          <cell r="F647" t="str">
            <v>会議費</v>
          </cell>
          <cell r="G647">
            <v>100</v>
          </cell>
          <cell r="H647" t="str">
            <v>現金</v>
          </cell>
          <cell r="J647">
            <v>7980</v>
          </cell>
          <cell r="K647">
            <v>-9517636</v>
          </cell>
        </row>
        <row r="648">
          <cell r="A648">
            <v>632</v>
          </cell>
          <cell r="B648">
            <v>35966</v>
          </cell>
          <cell r="C648" t="str">
            <v>タクシー代</v>
          </cell>
          <cell r="D648" t="str">
            <v>日本交通</v>
          </cell>
          <cell r="E648">
            <v>522</v>
          </cell>
          <cell r="F648" t="str">
            <v>旅費交通費</v>
          </cell>
          <cell r="G648">
            <v>100</v>
          </cell>
          <cell r="H648" t="str">
            <v>現金</v>
          </cell>
          <cell r="J648">
            <v>7300</v>
          </cell>
          <cell r="K648">
            <v>-9524936</v>
          </cell>
        </row>
        <row r="649">
          <cell r="A649">
            <v>633</v>
          </cell>
          <cell r="B649">
            <v>35967</v>
          </cell>
          <cell r="C649" t="str">
            <v>コンピュータ関係</v>
          </cell>
          <cell r="D649" t="str">
            <v>あおい書店</v>
          </cell>
          <cell r="E649">
            <v>516</v>
          </cell>
          <cell r="F649" t="str">
            <v>図書研究費</v>
          </cell>
          <cell r="G649">
            <v>100</v>
          </cell>
          <cell r="H649" t="str">
            <v>現金</v>
          </cell>
          <cell r="J649">
            <v>1905</v>
          </cell>
          <cell r="K649">
            <v>-9526841</v>
          </cell>
        </row>
        <row r="650">
          <cell r="A650">
            <v>634</v>
          </cell>
          <cell r="B650">
            <v>35967</v>
          </cell>
          <cell r="C650" t="str">
            <v>茶菓子代</v>
          </cell>
          <cell r="D650" t="str">
            <v>高島屋</v>
          </cell>
          <cell r="E650">
            <v>503</v>
          </cell>
          <cell r="F650" t="str">
            <v>福利厚生費</v>
          </cell>
          <cell r="G650">
            <v>100</v>
          </cell>
          <cell r="H650" t="str">
            <v>現金</v>
          </cell>
          <cell r="J650">
            <v>945</v>
          </cell>
          <cell r="K650">
            <v>-9527786</v>
          </cell>
        </row>
        <row r="651">
          <cell r="A651">
            <v>635</v>
          </cell>
          <cell r="B651">
            <v>35968</v>
          </cell>
          <cell r="C651" t="str">
            <v>夜食代</v>
          </cell>
          <cell r="D651" t="str">
            <v>茶月</v>
          </cell>
          <cell r="E651">
            <v>503</v>
          </cell>
          <cell r="F651" t="str">
            <v>福利厚生費</v>
          </cell>
          <cell r="G651">
            <v>100</v>
          </cell>
          <cell r="H651" t="str">
            <v>現金</v>
          </cell>
          <cell r="J651">
            <v>693</v>
          </cell>
          <cell r="K651">
            <v>-9528479</v>
          </cell>
        </row>
        <row r="652">
          <cell r="A652">
            <v>636</v>
          </cell>
          <cell r="B652">
            <v>35968</v>
          </cell>
          <cell r="C652" t="str">
            <v>お茶代</v>
          </cell>
          <cell r="D652" t="str">
            <v>ローソン</v>
          </cell>
          <cell r="E652">
            <v>503</v>
          </cell>
          <cell r="F652" t="str">
            <v>福利厚生費</v>
          </cell>
          <cell r="G652">
            <v>100</v>
          </cell>
          <cell r="H652" t="str">
            <v>現金</v>
          </cell>
          <cell r="J652">
            <v>393</v>
          </cell>
          <cell r="K652">
            <v>-9528872</v>
          </cell>
        </row>
        <row r="653">
          <cell r="A653">
            <v>637</v>
          </cell>
          <cell r="B653">
            <v>35968</v>
          </cell>
          <cell r="C653" t="str">
            <v>亀ｺﾝ 永田氏</v>
          </cell>
          <cell r="D653" t="str">
            <v>Ｄｅｎｎｙ’ｓ</v>
          </cell>
          <cell r="E653">
            <v>535</v>
          </cell>
          <cell r="F653" t="str">
            <v>会議費</v>
          </cell>
          <cell r="G653">
            <v>100</v>
          </cell>
          <cell r="H653" t="str">
            <v>現金</v>
          </cell>
          <cell r="J653">
            <v>3903</v>
          </cell>
          <cell r="K653">
            <v>-9532775</v>
          </cell>
        </row>
        <row r="654">
          <cell r="B654">
            <v>35968</v>
          </cell>
          <cell r="C654" t="str">
            <v>ガス料金</v>
          </cell>
          <cell r="D654" t="str">
            <v>東京ガス</v>
          </cell>
          <cell r="E654">
            <v>530</v>
          </cell>
          <cell r="F654" t="str">
            <v>水道光熱費</v>
          </cell>
          <cell r="G654">
            <v>114</v>
          </cell>
          <cell r="H654" t="str">
            <v>普通預金</v>
          </cell>
          <cell r="J654">
            <v>3557</v>
          </cell>
          <cell r="K654">
            <v>-9536332</v>
          </cell>
        </row>
        <row r="655">
          <cell r="A655">
            <v>638</v>
          </cell>
          <cell r="B655">
            <v>35969</v>
          </cell>
          <cell r="C655" t="str">
            <v>タクシー代</v>
          </cell>
          <cell r="D655" t="str">
            <v>グリーンキャブ</v>
          </cell>
          <cell r="E655">
            <v>522</v>
          </cell>
          <cell r="F655" t="str">
            <v>旅費交通費</v>
          </cell>
          <cell r="G655">
            <v>100</v>
          </cell>
          <cell r="H655" t="str">
            <v>現金</v>
          </cell>
          <cell r="J655">
            <v>980</v>
          </cell>
          <cell r="K655">
            <v>-9537312</v>
          </cell>
        </row>
        <row r="656">
          <cell r="A656">
            <v>639</v>
          </cell>
          <cell r="B656">
            <v>35969</v>
          </cell>
          <cell r="C656" t="str">
            <v>夜食代</v>
          </cell>
          <cell r="D656" t="str">
            <v>BAGEL &amp; BAGEL</v>
          </cell>
          <cell r="E656">
            <v>503</v>
          </cell>
          <cell r="F656" t="str">
            <v>福利厚生費</v>
          </cell>
          <cell r="G656">
            <v>100</v>
          </cell>
          <cell r="H656" t="str">
            <v>現金</v>
          </cell>
          <cell r="J656">
            <v>703</v>
          </cell>
          <cell r="K656">
            <v>-9538015</v>
          </cell>
        </row>
        <row r="657">
          <cell r="A657">
            <v>640</v>
          </cell>
          <cell r="B657">
            <v>35969</v>
          </cell>
          <cell r="C657" t="str">
            <v>亀ｺﾝ 松原社長</v>
          </cell>
          <cell r="D657" t="str">
            <v>プリンスホテル</v>
          </cell>
          <cell r="E657">
            <v>535</v>
          </cell>
          <cell r="F657" t="str">
            <v>会議費</v>
          </cell>
          <cell r="G657">
            <v>100</v>
          </cell>
          <cell r="H657" t="str">
            <v>現金</v>
          </cell>
          <cell r="J657">
            <v>3990</v>
          </cell>
          <cell r="K657">
            <v>-9542005</v>
          </cell>
        </row>
        <row r="658">
          <cell r="A658">
            <v>641</v>
          </cell>
          <cell r="B658">
            <v>35970</v>
          </cell>
          <cell r="C658" t="str">
            <v>登記謄本 印紙代</v>
          </cell>
          <cell r="D658" t="str">
            <v>吉村印紙売捌所</v>
          </cell>
          <cell r="E658">
            <v>526</v>
          </cell>
          <cell r="F658" t="str">
            <v>租税公課</v>
          </cell>
          <cell r="G658">
            <v>100</v>
          </cell>
          <cell r="H658" t="str">
            <v>現金</v>
          </cell>
          <cell r="J658">
            <v>1000</v>
          </cell>
          <cell r="K658">
            <v>-9543005</v>
          </cell>
        </row>
        <row r="659">
          <cell r="A659">
            <v>642</v>
          </cell>
          <cell r="B659">
            <v>35971</v>
          </cell>
          <cell r="C659" t="str">
            <v>浄水器</v>
          </cell>
          <cell r="D659" t="str">
            <v>ＢＩＧ・１</v>
          </cell>
          <cell r="E659">
            <v>525</v>
          </cell>
          <cell r="F659" t="str">
            <v>消耗品費</v>
          </cell>
          <cell r="G659">
            <v>100</v>
          </cell>
          <cell r="H659" t="str">
            <v>現金</v>
          </cell>
          <cell r="J659">
            <v>3465</v>
          </cell>
          <cell r="K659">
            <v>-9546470</v>
          </cell>
        </row>
        <row r="660">
          <cell r="A660">
            <v>643</v>
          </cell>
          <cell r="B660">
            <v>35971</v>
          </cell>
          <cell r="C660" t="str">
            <v>薬用石鹸</v>
          </cell>
          <cell r="D660" t="str">
            <v>ドラッグアスナロ</v>
          </cell>
          <cell r="E660">
            <v>525</v>
          </cell>
          <cell r="F660" t="str">
            <v>消耗品費</v>
          </cell>
          <cell r="G660">
            <v>100</v>
          </cell>
          <cell r="H660" t="str">
            <v>現金</v>
          </cell>
          <cell r="J660">
            <v>1039</v>
          </cell>
          <cell r="K660">
            <v>-9547509</v>
          </cell>
        </row>
        <row r="661">
          <cell r="A661">
            <v>644</v>
          </cell>
          <cell r="B661">
            <v>35971</v>
          </cell>
          <cell r="C661" t="str">
            <v>夜食代</v>
          </cell>
          <cell r="D661" t="str">
            <v>丸正</v>
          </cell>
          <cell r="E661">
            <v>503</v>
          </cell>
          <cell r="F661" t="str">
            <v>福利厚生費</v>
          </cell>
          <cell r="G661">
            <v>100</v>
          </cell>
          <cell r="H661" t="str">
            <v>現金</v>
          </cell>
          <cell r="J661">
            <v>2380</v>
          </cell>
          <cell r="K661">
            <v>-9549889</v>
          </cell>
        </row>
        <row r="662">
          <cell r="A662">
            <v>645</v>
          </cell>
          <cell r="B662">
            <v>35971</v>
          </cell>
          <cell r="C662" t="str">
            <v>7月分家賃</v>
          </cell>
          <cell r="D662" t="str">
            <v>大塚刷毛製造（株）</v>
          </cell>
          <cell r="E662">
            <v>528</v>
          </cell>
          <cell r="F662" t="str">
            <v>地代・家賃</v>
          </cell>
          <cell r="G662">
            <v>100</v>
          </cell>
          <cell r="H662" t="str">
            <v>現金</v>
          </cell>
          <cell r="J662">
            <v>89000</v>
          </cell>
          <cell r="K662">
            <v>-9638889</v>
          </cell>
        </row>
        <row r="663">
          <cell r="A663">
            <v>646</v>
          </cell>
          <cell r="B663">
            <v>35972</v>
          </cell>
          <cell r="C663" t="str">
            <v>亀ｺﾝ 永田氏</v>
          </cell>
          <cell r="D663" t="str">
            <v>Ｄｅｎｎｙ’ｓ</v>
          </cell>
          <cell r="E663">
            <v>535</v>
          </cell>
          <cell r="F663" t="str">
            <v>会議費</v>
          </cell>
          <cell r="G663">
            <v>100</v>
          </cell>
          <cell r="H663" t="str">
            <v>現金</v>
          </cell>
          <cell r="J663">
            <v>2333</v>
          </cell>
          <cell r="K663">
            <v>-9641222</v>
          </cell>
        </row>
        <row r="664">
          <cell r="A664">
            <v>647</v>
          </cell>
          <cell r="B664">
            <v>35972</v>
          </cell>
          <cell r="C664" t="str">
            <v>お茶代</v>
          </cell>
          <cell r="D664" t="str">
            <v>am pm</v>
          </cell>
          <cell r="E664">
            <v>503</v>
          </cell>
          <cell r="F664" t="str">
            <v>福利厚生費</v>
          </cell>
          <cell r="G664">
            <v>100</v>
          </cell>
          <cell r="H664" t="str">
            <v>現金</v>
          </cell>
          <cell r="J664">
            <v>428</v>
          </cell>
          <cell r="K664">
            <v>-9641650</v>
          </cell>
        </row>
        <row r="665">
          <cell r="A665">
            <v>648</v>
          </cell>
          <cell r="B665">
            <v>35972</v>
          </cell>
          <cell r="C665" t="str">
            <v>夜食代</v>
          </cell>
          <cell r="D665" t="str">
            <v>丸正</v>
          </cell>
          <cell r="E665">
            <v>503</v>
          </cell>
          <cell r="F665" t="str">
            <v>福利厚生費</v>
          </cell>
          <cell r="G665">
            <v>100</v>
          </cell>
          <cell r="H665" t="str">
            <v>現金</v>
          </cell>
          <cell r="J665">
            <v>1671</v>
          </cell>
          <cell r="K665">
            <v>-9643321</v>
          </cell>
        </row>
        <row r="666">
          <cell r="B666">
            <v>35972</v>
          </cell>
          <cell r="C666" t="str">
            <v>受信料</v>
          </cell>
          <cell r="D666" t="str">
            <v>ＮＨＫ</v>
          </cell>
          <cell r="E666">
            <v>538</v>
          </cell>
          <cell r="F666" t="str">
            <v>雑費</v>
          </cell>
          <cell r="G666">
            <v>114</v>
          </cell>
          <cell r="H666" t="str">
            <v>普通預金</v>
          </cell>
          <cell r="J666">
            <v>7650</v>
          </cell>
          <cell r="K666">
            <v>-9650971</v>
          </cell>
        </row>
        <row r="667">
          <cell r="A667">
            <v>649</v>
          </cell>
          <cell r="B667">
            <v>35973</v>
          </cell>
          <cell r="C667" t="str">
            <v>インテック 山田氏</v>
          </cell>
          <cell r="D667" t="str">
            <v>雛鮨</v>
          </cell>
          <cell r="E667">
            <v>521</v>
          </cell>
          <cell r="F667" t="str">
            <v>接待交際費</v>
          </cell>
          <cell r="G667">
            <v>100</v>
          </cell>
          <cell r="H667" t="str">
            <v>現金</v>
          </cell>
          <cell r="J667">
            <v>10683</v>
          </cell>
          <cell r="K667">
            <v>-9661654</v>
          </cell>
        </row>
        <row r="668">
          <cell r="A668">
            <v>650</v>
          </cell>
          <cell r="B668">
            <v>35973</v>
          </cell>
          <cell r="C668" t="str">
            <v>お菓子代</v>
          </cell>
          <cell r="D668" t="str">
            <v>ファミリーマート</v>
          </cell>
          <cell r="E668">
            <v>503</v>
          </cell>
          <cell r="F668" t="str">
            <v>福利厚生費</v>
          </cell>
          <cell r="G668">
            <v>100</v>
          </cell>
          <cell r="H668" t="str">
            <v>現金</v>
          </cell>
          <cell r="J668">
            <v>205</v>
          </cell>
          <cell r="K668">
            <v>-9661859</v>
          </cell>
        </row>
        <row r="669">
          <cell r="A669">
            <v>651</v>
          </cell>
          <cell r="B669">
            <v>35973</v>
          </cell>
          <cell r="C669" t="str">
            <v>シャーボ</v>
          </cell>
          <cell r="D669" t="str">
            <v>ローソン</v>
          </cell>
          <cell r="E669">
            <v>524</v>
          </cell>
          <cell r="F669" t="str">
            <v>事務消耗品費</v>
          </cell>
          <cell r="G669">
            <v>100</v>
          </cell>
          <cell r="H669" t="str">
            <v>現金</v>
          </cell>
          <cell r="J669">
            <v>2387</v>
          </cell>
          <cell r="K669">
            <v>-9664246</v>
          </cell>
        </row>
        <row r="670">
          <cell r="A670">
            <v>652</v>
          </cell>
          <cell r="B670">
            <v>35974</v>
          </cell>
          <cell r="C670" t="str">
            <v>コンピュータ雑誌</v>
          </cell>
          <cell r="D670" t="str">
            <v>ローソン</v>
          </cell>
          <cell r="E670">
            <v>516</v>
          </cell>
          <cell r="F670" t="str">
            <v>図書研究費</v>
          </cell>
          <cell r="G670">
            <v>100</v>
          </cell>
          <cell r="H670" t="str">
            <v>現金</v>
          </cell>
          <cell r="J670">
            <v>520</v>
          </cell>
          <cell r="K670">
            <v>-9664766</v>
          </cell>
        </row>
        <row r="671">
          <cell r="A671">
            <v>653</v>
          </cell>
          <cell r="B671">
            <v>35974</v>
          </cell>
          <cell r="C671" t="str">
            <v>夜食代</v>
          </cell>
          <cell r="D671" t="str">
            <v>ローソン</v>
          </cell>
          <cell r="E671">
            <v>503</v>
          </cell>
          <cell r="F671" t="str">
            <v>福利厚生費</v>
          </cell>
          <cell r="G671">
            <v>100</v>
          </cell>
          <cell r="H671" t="str">
            <v>現金</v>
          </cell>
          <cell r="J671">
            <v>1461</v>
          </cell>
          <cell r="K671">
            <v>-9666227</v>
          </cell>
        </row>
        <row r="672">
          <cell r="A672">
            <v>654</v>
          </cell>
          <cell r="B672">
            <v>35975</v>
          </cell>
          <cell r="C672" t="str">
            <v>亀ｺﾝ 竹下氏</v>
          </cell>
          <cell r="D672" t="str">
            <v>ルノアール</v>
          </cell>
          <cell r="E672">
            <v>535</v>
          </cell>
          <cell r="F672" t="str">
            <v>会議費</v>
          </cell>
          <cell r="G672">
            <v>100</v>
          </cell>
          <cell r="H672" t="str">
            <v>現金</v>
          </cell>
          <cell r="J672">
            <v>1000</v>
          </cell>
          <cell r="K672">
            <v>-9667227</v>
          </cell>
        </row>
        <row r="673">
          <cell r="A673">
            <v>655</v>
          </cell>
          <cell r="B673">
            <v>35975</v>
          </cell>
          <cell r="C673" t="str">
            <v>コンピュータ誌</v>
          </cell>
          <cell r="D673" t="str">
            <v>宮子書店</v>
          </cell>
          <cell r="E673">
            <v>516</v>
          </cell>
          <cell r="F673" t="str">
            <v>図書研究費</v>
          </cell>
          <cell r="G673">
            <v>100</v>
          </cell>
          <cell r="H673" t="str">
            <v>現金</v>
          </cell>
          <cell r="J673">
            <v>260</v>
          </cell>
          <cell r="K673">
            <v>-9667487</v>
          </cell>
        </row>
        <row r="674">
          <cell r="A674">
            <v>656</v>
          </cell>
          <cell r="B674">
            <v>35975</v>
          </cell>
          <cell r="C674" t="str">
            <v>お茶代</v>
          </cell>
          <cell r="D674" t="str">
            <v>サンクス</v>
          </cell>
          <cell r="E674">
            <v>503</v>
          </cell>
          <cell r="F674" t="str">
            <v>福利厚生費</v>
          </cell>
          <cell r="G674">
            <v>100</v>
          </cell>
          <cell r="H674" t="str">
            <v>現金</v>
          </cell>
          <cell r="J674">
            <v>787</v>
          </cell>
          <cell r="K674">
            <v>-9668274</v>
          </cell>
        </row>
        <row r="675">
          <cell r="A675">
            <v>657</v>
          </cell>
          <cell r="B675">
            <v>35975</v>
          </cell>
          <cell r="C675" t="str">
            <v>亀ｺﾝ 永田氏</v>
          </cell>
          <cell r="D675" t="str">
            <v>Ｄｅｎｎｙ’ｓ</v>
          </cell>
          <cell r="E675">
            <v>535</v>
          </cell>
          <cell r="F675" t="str">
            <v>会議費</v>
          </cell>
          <cell r="G675">
            <v>100</v>
          </cell>
          <cell r="H675" t="str">
            <v>現金</v>
          </cell>
          <cell r="J675">
            <v>2536</v>
          </cell>
          <cell r="K675">
            <v>-9670810</v>
          </cell>
        </row>
      </sheetData>
      <sheetData sheetId="1"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Book2"/>
      <sheetName val="コード"/>
    </sheetNames>
    <sheetDataSet>
      <sheetData sheetId="0" refreshError="1">
        <row r="5">
          <cell r="A5" t="str">
            <v>番号</v>
          </cell>
          <cell r="B5" t="str">
            <v>月日</v>
          </cell>
          <cell r="C5" t="str">
            <v>摘要</v>
          </cell>
          <cell r="D5" t="str">
            <v>支払先</v>
          </cell>
          <cell r="E5" t="str">
            <v>借方科目</v>
          </cell>
          <cell r="G5" t="str">
            <v>貸方科目</v>
          </cell>
          <cell r="I5" t="str">
            <v>収入</v>
          </cell>
          <cell r="J5" t="str">
            <v>支出</v>
          </cell>
          <cell r="K5" t="str">
            <v>残高</v>
          </cell>
        </row>
        <row r="6">
          <cell r="A6">
            <v>1</v>
          </cell>
          <cell r="B6">
            <v>35683</v>
          </cell>
          <cell r="C6" t="str">
            <v>布団カバー</v>
          </cell>
          <cell r="E6">
            <v>525</v>
          </cell>
          <cell r="F6" t="str">
            <v>消耗品費</v>
          </cell>
          <cell r="G6">
            <v>100</v>
          </cell>
          <cell r="H6" t="str">
            <v>現金</v>
          </cell>
          <cell r="J6">
            <v>3045</v>
          </cell>
          <cell r="K6">
            <v>-3045</v>
          </cell>
        </row>
        <row r="7">
          <cell r="A7">
            <v>2</v>
          </cell>
          <cell r="B7">
            <v>35683</v>
          </cell>
          <cell r="C7" t="str">
            <v>合鍵</v>
          </cell>
          <cell r="E7">
            <v>538</v>
          </cell>
          <cell r="F7" t="str">
            <v>雑費</v>
          </cell>
          <cell r="G7">
            <v>100</v>
          </cell>
          <cell r="H7" t="str">
            <v>現金</v>
          </cell>
          <cell r="J7">
            <v>1260</v>
          </cell>
          <cell r="K7">
            <v>-4305</v>
          </cell>
        </row>
        <row r="8">
          <cell r="A8">
            <v>3</v>
          </cell>
          <cell r="B8">
            <v>35683</v>
          </cell>
          <cell r="C8" t="str">
            <v>石鹸</v>
          </cell>
          <cell r="E8">
            <v>525</v>
          </cell>
          <cell r="F8" t="str">
            <v>消耗品費</v>
          </cell>
          <cell r="G8">
            <v>100</v>
          </cell>
          <cell r="H8" t="str">
            <v>現金</v>
          </cell>
          <cell r="J8">
            <v>312</v>
          </cell>
          <cell r="K8">
            <v>-4617</v>
          </cell>
        </row>
        <row r="9">
          <cell r="A9">
            <v>4</v>
          </cell>
          <cell r="B9">
            <v>35683</v>
          </cell>
          <cell r="C9" t="str">
            <v>はさみ・セロテープ他</v>
          </cell>
          <cell r="E9">
            <v>524</v>
          </cell>
          <cell r="F9" t="str">
            <v>事務消耗品費</v>
          </cell>
          <cell r="G9">
            <v>100</v>
          </cell>
          <cell r="H9" t="str">
            <v>現金</v>
          </cell>
          <cell r="J9">
            <v>4033</v>
          </cell>
          <cell r="K9">
            <v>-8650</v>
          </cell>
        </row>
        <row r="10">
          <cell r="A10">
            <v>5</v>
          </cell>
          <cell r="B10">
            <v>35683</v>
          </cell>
          <cell r="C10" t="str">
            <v>自転車・クッション</v>
          </cell>
          <cell r="E10">
            <v>525</v>
          </cell>
          <cell r="F10" t="str">
            <v>消耗品費</v>
          </cell>
          <cell r="G10">
            <v>100</v>
          </cell>
          <cell r="H10" t="str">
            <v>現金</v>
          </cell>
          <cell r="J10">
            <v>20706</v>
          </cell>
          <cell r="K10">
            <v>-29356</v>
          </cell>
        </row>
        <row r="11">
          <cell r="A11">
            <v>6</v>
          </cell>
          <cell r="B11">
            <v>35683</v>
          </cell>
          <cell r="C11" t="str">
            <v>ティッシュ・ごみ袋他</v>
          </cell>
          <cell r="E11">
            <v>525</v>
          </cell>
          <cell r="F11" t="str">
            <v>消耗品費</v>
          </cell>
          <cell r="G11">
            <v>100</v>
          </cell>
          <cell r="H11" t="str">
            <v>現金</v>
          </cell>
          <cell r="J11">
            <v>1864</v>
          </cell>
          <cell r="K11">
            <v>-31220</v>
          </cell>
        </row>
        <row r="12">
          <cell r="A12">
            <v>7</v>
          </cell>
          <cell r="B12">
            <v>35685</v>
          </cell>
          <cell r="C12" t="str">
            <v>タクシー</v>
          </cell>
          <cell r="E12">
            <v>522</v>
          </cell>
          <cell r="F12" t="str">
            <v>旅費交通費</v>
          </cell>
          <cell r="G12">
            <v>100</v>
          </cell>
          <cell r="H12" t="str">
            <v>現金</v>
          </cell>
          <cell r="J12">
            <v>900</v>
          </cell>
          <cell r="K12">
            <v>-32120</v>
          </cell>
        </row>
        <row r="13">
          <cell r="A13">
            <v>8</v>
          </cell>
          <cell r="B13">
            <v>35685</v>
          </cell>
          <cell r="C13" t="str">
            <v>時計</v>
          </cell>
          <cell r="E13">
            <v>525</v>
          </cell>
          <cell r="F13" t="str">
            <v>消耗品費</v>
          </cell>
          <cell r="G13">
            <v>100</v>
          </cell>
          <cell r="H13" t="str">
            <v>現金</v>
          </cell>
          <cell r="J13">
            <v>6436</v>
          </cell>
          <cell r="K13">
            <v>-38556</v>
          </cell>
        </row>
        <row r="14">
          <cell r="A14">
            <v>9</v>
          </cell>
          <cell r="B14">
            <v>35686</v>
          </cell>
          <cell r="C14" t="str">
            <v>布団</v>
          </cell>
          <cell r="E14">
            <v>525</v>
          </cell>
          <cell r="F14" t="str">
            <v>消耗品費</v>
          </cell>
          <cell r="G14">
            <v>100</v>
          </cell>
          <cell r="H14" t="str">
            <v>現金</v>
          </cell>
          <cell r="J14">
            <v>38900</v>
          </cell>
          <cell r="K14">
            <v>-77456</v>
          </cell>
        </row>
        <row r="15">
          <cell r="A15">
            <v>10</v>
          </cell>
          <cell r="B15">
            <v>35686</v>
          </cell>
          <cell r="C15" t="str">
            <v>テレビ</v>
          </cell>
          <cell r="E15">
            <v>525</v>
          </cell>
          <cell r="F15" t="str">
            <v>消耗品費</v>
          </cell>
          <cell r="G15">
            <v>100</v>
          </cell>
          <cell r="H15" t="str">
            <v>現金</v>
          </cell>
          <cell r="J15">
            <v>58540</v>
          </cell>
          <cell r="K15">
            <v>-135996</v>
          </cell>
        </row>
        <row r="16">
          <cell r="A16">
            <v>11</v>
          </cell>
          <cell r="B16">
            <v>35686</v>
          </cell>
          <cell r="C16" t="str">
            <v>ドライバー・メジャー</v>
          </cell>
          <cell r="E16">
            <v>524</v>
          </cell>
          <cell r="F16" t="str">
            <v>事務消耗品費</v>
          </cell>
          <cell r="G16">
            <v>100</v>
          </cell>
          <cell r="H16" t="str">
            <v>現金</v>
          </cell>
          <cell r="J16">
            <v>1396</v>
          </cell>
          <cell r="K16">
            <v>-137392</v>
          </cell>
        </row>
        <row r="17">
          <cell r="A17">
            <v>12</v>
          </cell>
          <cell r="B17">
            <v>35686</v>
          </cell>
          <cell r="C17" t="str">
            <v>薬缶・食器他</v>
          </cell>
          <cell r="E17">
            <v>525</v>
          </cell>
          <cell r="F17" t="str">
            <v>消耗品費</v>
          </cell>
          <cell r="G17">
            <v>100</v>
          </cell>
          <cell r="H17" t="str">
            <v>現金</v>
          </cell>
          <cell r="J17">
            <v>7345</v>
          </cell>
          <cell r="K17">
            <v>-144737</v>
          </cell>
        </row>
        <row r="18">
          <cell r="A18">
            <v>13</v>
          </cell>
          <cell r="B18">
            <v>35689</v>
          </cell>
          <cell r="C18" t="str">
            <v>印鑑</v>
          </cell>
          <cell r="E18">
            <v>524</v>
          </cell>
          <cell r="F18" t="str">
            <v>事務消耗品費</v>
          </cell>
          <cell r="G18">
            <v>100</v>
          </cell>
          <cell r="H18" t="str">
            <v>現金</v>
          </cell>
          <cell r="J18">
            <v>420</v>
          </cell>
          <cell r="K18">
            <v>-145157</v>
          </cell>
        </row>
        <row r="19">
          <cell r="A19">
            <v>14</v>
          </cell>
          <cell r="B19">
            <v>35689</v>
          </cell>
          <cell r="C19" t="str">
            <v>印鑑証明</v>
          </cell>
          <cell r="E19">
            <v>538</v>
          </cell>
          <cell r="F19" t="str">
            <v>雑費</v>
          </cell>
          <cell r="G19">
            <v>100</v>
          </cell>
          <cell r="H19" t="str">
            <v>現金</v>
          </cell>
          <cell r="J19">
            <v>700</v>
          </cell>
          <cell r="K19">
            <v>-145857</v>
          </cell>
        </row>
        <row r="20">
          <cell r="A20">
            <v>15</v>
          </cell>
          <cell r="B20">
            <v>35689</v>
          </cell>
          <cell r="C20" t="str">
            <v>机・本棚</v>
          </cell>
          <cell r="E20">
            <v>525</v>
          </cell>
          <cell r="F20" t="str">
            <v>消耗品費</v>
          </cell>
          <cell r="G20">
            <v>100</v>
          </cell>
          <cell r="H20" t="str">
            <v>現金</v>
          </cell>
          <cell r="J20">
            <v>105000</v>
          </cell>
          <cell r="K20">
            <v>-250857</v>
          </cell>
        </row>
        <row r="21">
          <cell r="A21">
            <v>16</v>
          </cell>
          <cell r="B21">
            <v>35690</v>
          </cell>
          <cell r="C21" t="str">
            <v>トイレ備品・他</v>
          </cell>
          <cell r="E21">
            <v>525</v>
          </cell>
          <cell r="F21" t="str">
            <v>消耗品費</v>
          </cell>
          <cell r="G21">
            <v>100</v>
          </cell>
          <cell r="H21" t="str">
            <v>現金</v>
          </cell>
          <cell r="J21">
            <v>2823</v>
          </cell>
          <cell r="K21">
            <v>-253680</v>
          </cell>
        </row>
        <row r="22">
          <cell r="A22">
            <v>17</v>
          </cell>
          <cell r="B22">
            <v>35697</v>
          </cell>
          <cell r="C22" t="str">
            <v>タクシー</v>
          </cell>
          <cell r="E22">
            <v>522</v>
          </cell>
          <cell r="F22" t="str">
            <v>旅費交通費</v>
          </cell>
          <cell r="G22">
            <v>100</v>
          </cell>
          <cell r="H22" t="str">
            <v>現金</v>
          </cell>
          <cell r="J22">
            <v>730</v>
          </cell>
          <cell r="K22">
            <v>-254410</v>
          </cell>
        </row>
        <row r="23">
          <cell r="A23">
            <v>18</v>
          </cell>
          <cell r="B23">
            <v>35697</v>
          </cell>
          <cell r="C23" t="str">
            <v>会社設立関連</v>
          </cell>
          <cell r="E23">
            <v>516</v>
          </cell>
          <cell r="F23" t="str">
            <v>図書研究費</v>
          </cell>
          <cell r="G23">
            <v>100</v>
          </cell>
          <cell r="H23" t="str">
            <v>現金</v>
          </cell>
          <cell r="J23">
            <v>1427</v>
          </cell>
          <cell r="K23">
            <v>-255837</v>
          </cell>
        </row>
        <row r="24">
          <cell r="A24">
            <v>19</v>
          </cell>
          <cell r="B24">
            <v>35697</v>
          </cell>
          <cell r="C24" t="str">
            <v>フライパン</v>
          </cell>
          <cell r="E24">
            <v>525</v>
          </cell>
          <cell r="F24" t="str">
            <v>消耗品費</v>
          </cell>
          <cell r="G24">
            <v>100</v>
          </cell>
          <cell r="H24" t="str">
            <v>現金</v>
          </cell>
          <cell r="J24">
            <v>5250</v>
          </cell>
          <cell r="K24">
            <v>-261087</v>
          </cell>
        </row>
        <row r="25">
          <cell r="A25">
            <v>20</v>
          </cell>
          <cell r="B25">
            <v>35698</v>
          </cell>
          <cell r="C25" t="str">
            <v>包丁</v>
          </cell>
          <cell r="E25">
            <v>525</v>
          </cell>
          <cell r="F25" t="str">
            <v>消耗品費</v>
          </cell>
          <cell r="G25">
            <v>100</v>
          </cell>
          <cell r="H25" t="str">
            <v>現金</v>
          </cell>
          <cell r="J25">
            <v>1029</v>
          </cell>
          <cell r="K25">
            <v>-262116</v>
          </cell>
        </row>
        <row r="26">
          <cell r="A26">
            <v>21</v>
          </cell>
          <cell r="B26">
            <v>35698</v>
          </cell>
          <cell r="C26" t="str">
            <v>洗剤</v>
          </cell>
          <cell r="E26">
            <v>525</v>
          </cell>
          <cell r="F26" t="str">
            <v>消耗品費</v>
          </cell>
          <cell r="G26">
            <v>100</v>
          </cell>
          <cell r="H26" t="str">
            <v>現金</v>
          </cell>
          <cell r="J26">
            <v>627</v>
          </cell>
          <cell r="K26">
            <v>-262743</v>
          </cell>
        </row>
        <row r="27">
          <cell r="A27">
            <v>22</v>
          </cell>
          <cell r="B27">
            <v>35698</v>
          </cell>
          <cell r="C27" t="str">
            <v>家賃</v>
          </cell>
          <cell r="E27">
            <v>528</v>
          </cell>
          <cell r="F27" t="str">
            <v>地代・家賃</v>
          </cell>
          <cell r="G27">
            <v>100</v>
          </cell>
          <cell r="H27" t="str">
            <v>現金</v>
          </cell>
          <cell r="J27">
            <v>89000</v>
          </cell>
          <cell r="K27">
            <v>-351743</v>
          </cell>
        </row>
        <row r="28">
          <cell r="A28">
            <v>23</v>
          </cell>
          <cell r="B28">
            <v>35701</v>
          </cell>
          <cell r="C28" t="str">
            <v>コンピュータ関連</v>
          </cell>
          <cell r="E28">
            <v>516</v>
          </cell>
          <cell r="F28" t="str">
            <v>図書研究費</v>
          </cell>
          <cell r="G28">
            <v>100</v>
          </cell>
          <cell r="H28" t="str">
            <v>現金</v>
          </cell>
          <cell r="J28">
            <v>1260</v>
          </cell>
          <cell r="K28">
            <v>-353003</v>
          </cell>
        </row>
        <row r="29">
          <cell r="A29">
            <v>24</v>
          </cell>
          <cell r="B29">
            <v>35703</v>
          </cell>
          <cell r="C29" t="str">
            <v>パンチ</v>
          </cell>
          <cell r="E29">
            <v>524</v>
          </cell>
          <cell r="F29" t="str">
            <v>事務消耗品費</v>
          </cell>
          <cell r="G29">
            <v>100</v>
          </cell>
          <cell r="H29" t="str">
            <v>現金</v>
          </cell>
          <cell r="J29">
            <v>945</v>
          </cell>
          <cell r="K29">
            <v>-353948</v>
          </cell>
        </row>
        <row r="30">
          <cell r="A30">
            <v>25</v>
          </cell>
          <cell r="B30">
            <v>35704</v>
          </cell>
          <cell r="C30" t="str">
            <v>会社印鑑</v>
          </cell>
          <cell r="E30">
            <v>524</v>
          </cell>
          <cell r="F30" t="str">
            <v>事務消耗品費</v>
          </cell>
          <cell r="G30">
            <v>100</v>
          </cell>
          <cell r="H30" t="str">
            <v>現金</v>
          </cell>
          <cell r="J30">
            <v>43050</v>
          </cell>
          <cell r="K30">
            <v>-396998</v>
          </cell>
        </row>
        <row r="31">
          <cell r="A31">
            <v>26</v>
          </cell>
          <cell r="B31">
            <v>35706</v>
          </cell>
          <cell r="C31" t="str">
            <v>電気</v>
          </cell>
          <cell r="E31">
            <v>530</v>
          </cell>
          <cell r="F31" t="str">
            <v>水道光熱費</v>
          </cell>
          <cell r="G31">
            <v>100</v>
          </cell>
          <cell r="H31" t="str">
            <v>現金</v>
          </cell>
          <cell r="J31">
            <v>1474</v>
          </cell>
          <cell r="K31">
            <v>-398472</v>
          </cell>
        </row>
        <row r="32">
          <cell r="A32">
            <v>27</v>
          </cell>
          <cell r="B32">
            <v>35708</v>
          </cell>
          <cell r="C32" t="str">
            <v>収納ケース</v>
          </cell>
          <cell r="E32">
            <v>525</v>
          </cell>
          <cell r="F32" t="str">
            <v>消耗品費</v>
          </cell>
          <cell r="G32">
            <v>100</v>
          </cell>
          <cell r="H32" t="str">
            <v>現金</v>
          </cell>
          <cell r="J32">
            <v>4158</v>
          </cell>
          <cell r="K32">
            <v>-402630</v>
          </cell>
        </row>
        <row r="33">
          <cell r="A33">
            <v>28</v>
          </cell>
          <cell r="B33">
            <v>35709</v>
          </cell>
          <cell r="C33" t="str">
            <v>タクシー</v>
          </cell>
          <cell r="E33">
            <v>522</v>
          </cell>
          <cell r="F33" t="str">
            <v>旅費交通費</v>
          </cell>
          <cell r="G33">
            <v>100</v>
          </cell>
          <cell r="H33" t="str">
            <v>現金</v>
          </cell>
          <cell r="J33">
            <v>2400</v>
          </cell>
          <cell r="K33">
            <v>-405030</v>
          </cell>
        </row>
        <row r="34">
          <cell r="A34">
            <v>29</v>
          </cell>
          <cell r="B34">
            <v>35709</v>
          </cell>
          <cell r="C34" t="str">
            <v>コンピュータ関連</v>
          </cell>
          <cell r="E34">
            <v>516</v>
          </cell>
          <cell r="F34" t="str">
            <v>図書研究費</v>
          </cell>
          <cell r="G34">
            <v>100</v>
          </cell>
          <cell r="H34" t="str">
            <v>現金</v>
          </cell>
          <cell r="J34">
            <v>3675</v>
          </cell>
          <cell r="K34">
            <v>-408705</v>
          </cell>
        </row>
        <row r="35">
          <cell r="A35">
            <v>30</v>
          </cell>
          <cell r="B35">
            <v>35716</v>
          </cell>
          <cell r="C35" t="str">
            <v>電話</v>
          </cell>
          <cell r="E35">
            <v>523</v>
          </cell>
          <cell r="F35" t="str">
            <v>通信費</v>
          </cell>
          <cell r="G35">
            <v>100</v>
          </cell>
          <cell r="H35" t="str">
            <v>現金</v>
          </cell>
          <cell r="J35">
            <v>20300</v>
          </cell>
          <cell r="K35">
            <v>-429005</v>
          </cell>
        </row>
        <row r="36">
          <cell r="A36">
            <v>31</v>
          </cell>
          <cell r="B36">
            <v>35718</v>
          </cell>
          <cell r="C36" t="str">
            <v>ASAHIパソコン</v>
          </cell>
          <cell r="E36">
            <v>516</v>
          </cell>
          <cell r="F36" t="str">
            <v>図書研究費</v>
          </cell>
          <cell r="G36">
            <v>100</v>
          </cell>
          <cell r="H36" t="str">
            <v>現金</v>
          </cell>
          <cell r="J36">
            <v>390</v>
          </cell>
          <cell r="K36">
            <v>-429395</v>
          </cell>
        </row>
        <row r="37">
          <cell r="A37">
            <v>32</v>
          </cell>
          <cell r="B37">
            <v>35718</v>
          </cell>
          <cell r="C37" t="str">
            <v>テレビ受信料</v>
          </cell>
          <cell r="E37">
            <v>538</v>
          </cell>
          <cell r="F37" t="str">
            <v>雑費</v>
          </cell>
          <cell r="G37">
            <v>100</v>
          </cell>
          <cell r="H37" t="str">
            <v>現金</v>
          </cell>
          <cell r="J37">
            <v>2790</v>
          </cell>
          <cell r="K37">
            <v>-432185</v>
          </cell>
        </row>
        <row r="38">
          <cell r="A38">
            <v>33</v>
          </cell>
          <cell r="B38">
            <v>35721</v>
          </cell>
          <cell r="C38" t="str">
            <v>日経トレンディ</v>
          </cell>
          <cell r="E38">
            <v>516</v>
          </cell>
          <cell r="F38" t="str">
            <v>図書研究費</v>
          </cell>
          <cell r="G38">
            <v>100</v>
          </cell>
          <cell r="H38" t="str">
            <v>現金</v>
          </cell>
          <cell r="J38">
            <v>780</v>
          </cell>
          <cell r="K38">
            <v>-432965</v>
          </cell>
        </row>
        <row r="39">
          <cell r="A39">
            <v>34</v>
          </cell>
          <cell r="B39">
            <v>35725</v>
          </cell>
          <cell r="C39" t="str">
            <v>ガス</v>
          </cell>
          <cell r="E39">
            <v>530</v>
          </cell>
          <cell r="F39" t="str">
            <v>水道光熱費</v>
          </cell>
          <cell r="G39">
            <v>100</v>
          </cell>
          <cell r="H39" t="str">
            <v>現金</v>
          </cell>
          <cell r="J39">
            <v>2509</v>
          </cell>
          <cell r="K39">
            <v>-435474</v>
          </cell>
        </row>
        <row r="40">
          <cell r="A40">
            <v>35</v>
          </cell>
          <cell r="B40">
            <v>35726</v>
          </cell>
          <cell r="C40" t="str">
            <v>Tカード</v>
          </cell>
          <cell r="E40">
            <v>522</v>
          </cell>
          <cell r="F40" t="str">
            <v>旅費交通費</v>
          </cell>
          <cell r="G40">
            <v>100</v>
          </cell>
          <cell r="H40" t="str">
            <v>現金</v>
          </cell>
          <cell r="J40">
            <v>3000</v>
          </cell>
          <cell r="K40">
            <v>-438474</v>
          </cell>
        </row>
        <row r="41">
          <cell r="A41">
            <v>36</v>
          </cell>
          <cell r="B41">
            <v>35727</v>
          </cell>
          <cell r="C41" t="str">
            <v>歯磨き粉</v>
          </cell>
          <cell r="E41">
            <v>525</v>
          </cell>
          <cell r="F41" t="str">
            <v>消耗品費</v>
          </cell>
          <cell r="G41">
            <v>100</v>
          </cell>
          <cell r="H41" t="str">
            <v>現金</v>
          </cell>
          <cell r="J41">
            <v>924</v>
          </cell>
          <cell r="K41">
            <v>-439398</v>
          </cell>
        </row>
        <row r="42">
          <cell r="A42">
            <v>37</v>
          </cell>
          <cell r="B42">
            <v>35727</v>
          </cell>
          <cell r="C42" t="str">
            <v>コピー</v>
          </cell>
          <cell r="E42">
            <v>524</v>
          </cell>
          <cell r="F42" t="str">
            <v>事務消耗品費</v>
          </cell>
          <cell r="G42">
            <v>100</v>
          </cell>
          <cell r="H42" t="str">
            <v>現金</v>
          </cell>
          <cell r="J42">
            <v>283</v>
          </cell>
          <cell r="K42">
            <v>-439681</v>
          </cell>
        </row>
        <row r="43">
          <cell r="A43">
            <v>38</v>
          </cell>
          <cell r="B43">
            <v>35730</v>
          </cell>
          <cell r="C43" t="str">
            <v>レターケース</v>
          </cell>
          <cell r="E43">
            <v>524</v>
          </cell>
          <cell r="F43" t="str">
            <v>事務消耗品費</v>
          </cell>
          <cell r="G43">
            <v>100</v>
          </cell>
          <cell r="H43" t="str">
            <v>現金</v>
          </cell>
          <cell r="J43">
            <v>1470</v>
          </cell>
          <cell r="K43">
            <v>-441151</v>
          </cell>
        </row>
        <row r="44">
          <cell r="A44">
            <v>39</v>
          </cell>
          <cell r="B44">
            <v>35730</v>
          </cell>
          <cell r="C44" t="str">
            <v>家賃</v>
          </cell>
          <cell r="E44">
            <v>528</v>
          </cell>
          <cell r="F44" t="str">
            <v>地代・家賃</v>
          </cell>
          <cell r="G44">
            <v>100</v>
          </cell>
          <cell r="H44" t="str">
            <v>現金</v>
          </cell>
          <cell r="J44">
            <v>89000</v>
          </cell>
          <cell r="K44">
            <v>-530151</v>
          </cell>
        </row>
        <row r="45">
          <cell r="A45">
            <v>40</v>
          </cell>
          <cell r="B45">
            <v>35731</v>
          </cell>
          <cell r="C45" t="str">
            <v>ｽﾌﾟｰﾝ・ﾌｫｰｸ</v>
          </cell>
          <cell r="E45">
            <v>525</v>
          </cell>
          <cell r="F45" t="str">
            <v>消耗品費</v>
          </cell>
          <cell r="G45">
            <v>100</v>
          </cell>
          <cell r="H45" t="str">
            <v>現金</v>
          </cell>
          <cell r="J45">
            <v>1041</v>
          </cell>
          <cell r="K45">
            <v>-531192</v>
          </cell>
        </row>
        <row r="46">
          <cell r="A46">
            <v>41</v>
          </cell>
          <cell r="B46">
            <v>35731</v>
          </cell>
          <cell r="C46" t="str">
            <v>有限会社設立登記</v>
          </cell>
          <cell r="E46">
            <v>516</v>
          </cell>
          <cell r="F46" t="str">
            <v>図書研究費</v>
          </cell>
          <cell r="G46">
            <v>100</v>
          </cell>
          <cell r="H46" t="str">
            <v>現金</v>
          </cell>
          <cell r="J46">
            <v>4200</v>
          </cell>
          <cell r="K46">
            <v>-535392</v>
          </cell>
        </row>
        <row r="47">
          <cell r="A47">
            <v>42</v>
          </cell>
          <cell r="B47">
            <v>35731</v>
          </cell>
          <cell r="C47" t="str">
            <v>石鹸・ティッシュ他</v>
          </cell>
          <cell r="E47">
            <v>525</v>
          </cell>
          <cell r="F47" t="str">
            <v>消耗品費</v>
          </cell>
          <cell r="G47">
            <v>100</v>
          </cell>
          <cell r="H47" t="str">
            <v>現金</v>
          </cell>
          <cell r="J47">
            <v>4260</v>
          </cell>
          <cell r="K47">
            <v>-539652</v>
          </cell>
        </row>
        <row r="48">
          <cell r="A48">
            <v>43</v>
          </cell>
          <cell r="B48">
            <v>35735</v>
          </cell>
          <cell r="C48" t="str">
            <v>シャーペン</v>
          </cell>
          <cell r="E48">
            <v>524</v>
          </cell>
          <cell r="F48" t="str">
            <v>事務消耗品費</v>
          </cell>
          <cell r="G48">
            <v>100</v>
          </cell>
          <cell r="H48" t="str">
            <v>現金</v>
          </cell>
          <cell r="J48">
            <v>207</v>
          </cell>
          <cell r="K48">
            <v>-539859</v>
          </cell>
        </row>
        <row r="49">
          <cell r="A49">
            <v>44</v>
          </cell>
          <cell r="B49">
            <v>35736</v>
          </cell>
          <cell r="C49" t="str">
            <v>バス用品</v>
          </cell>
          <cell r="E49">
            <v>525</v>
          </cell>
          <cell r="F49" t="str">
            <v>消耗品費</v>
          </cell>
          <cell r="G49">
            <v>100</v>
          </cell>
          <cell r="H49" t="str">
            <v>現金</v>
          </cell>
          <cell r="J49">
            <v>1260</v>
          </cell>
          <cell r="K49">
            <v>-541119</v>
          </cell>
        </row>
        <row r="50">
          <cell r="A50">
            <v>45</v>
          </cell>
          <cell r="B50">
            <v>35737</v>
          </cell>
          <cell r="C50" t="str">
            <v>キッチン用品</v>
          </cell>
          <cell r="E50">
            <v>525</v>
          </cell>
          <cell r="F50" t="str">
            <v>消耗品費</v>
          </cell>
          <cell r="G50">
            <v>100</v>
          </cell>
          <cell r="H50" t="str">
            <v>現金</v>
          </cell>
          <cell r="J50">
            <v>5040</v>
          </cell>
          <cell r="K50">
            <v>-546159</v>
          </cell>
        </row>
        <row r="51">
          <cell r="A51">
            <v>46</v>
          </cell>
          <cell r="B51">
            <v>35738</v>
          </cell>
          <cell r="C51" t="str">
            <v>電話料金</v>
          </cell>
          <cell r="E51">
            <v>523</v>
          </cell>
          <cell r="F51" t="str">
            <v>通信費</v>
          </cell>
          <cell r="G51">
            <v>100</v>
          </cell>
          <cell r="H51" t="str">
            <v>現金</v>
          </cell>
          <cell r="J51">
            <v>10031</v>
          </cell>
          <cell r="K51">
            <v>-556190</v>
          </cell>
        </row>
        <row r="52">
          <cell r="A52">
            <v>47</v>
          </cell>
          <cell r="B52">
            <v>35739</v>
          </cell>
          <cell r="C52" t="str">
            <v>亀コン永田取締役</v>
          </cell>
          <cell r="E52">
            <v>535</v>
          </cell>
          <cell r="F52" t="str">
            <v>会議費</v>
          </cell>
          <cell r="G52">
            <v>100</v>
          </cell>
          <cell r="H52" t="str">
            <v>現金</v>
          </cell>
          <cell r="J52">
            <v>3706</v>
          </cell>
          <cell r="K52">
            <v>-559896</v>
          </cell>
        </row>
        <row r="53">
          <cell r="A53">
            <v>48</v>
          </cell>
          <cell r="B53">
            <v>35739</v>
          </cell>
          <cell r="C53" t="str">
            <v>コーヒー（粉）</v>
          </cell>
          <cell r="E53">
            <v>503</v>
          </cell>
          <cell r="F53" t="str">
            <v>福利厚生費</v>
          </cell>
          <cell r="G53">
            <v>100</v>
          </cell>
          <cell r="H53" t="str">
            <v>現金</v>
          </cell>
          <cell r="J53">
            <v>1075</v>
          </cell>
          <cell r="K53">
            <v>-560971</v>
          </cell>
        </row>
        <row r="54">
          <cell r="A54">
            <v>49</v>
          </cell>
          <cell r="B54">
            <v>35742</v>
          </cell>
          <cell r="C54" t="str">
            <v>日経トレンディ</v>
          </cell>
          <cell r="E54">
            <v>516</v>
          </cell>
          <cell r="F54" t="str">
            <v>図書研究費</v>
          </cell>
          <cell r="G54">
            <v>100</v>
          </cell>
          <cell r="H54" t="str">
            <v>現金</v>
          </cell>
          <cell r="J54">
            <v>600</v>
          </cell>
          <cell r="K54">
            <v>-561571</v>
          </cell>
        </row>
        <row r="55">
          <cell r="A55">
            <v>50</v>
          </cell>
          <cell r="B55">
            <v>35743</v>
          </cell>
          <cell r="C55" t="str">
            <v>コンピュータ関連</v>
          </cell>
          <cell r="E55">
            <v>516</v>
          </cell>
          <cell r="F55" t="str">
            <v>図書研究費</v>
          </cell>
          <cell r="G55">
            <v>100</v>
          </cell>
          <cell r="H55" t="str">
            <v>現金</v>
          </cell>
          <cell r="J55">
            <v>407</v>
          </cell>
          <cell r="K55">
            <v>-561978</v>
          </cell>
        </row>
        <row r="56">
          <cell r="A56">
            <v>51</v>
          </cell>
          <cell r="B56">
            <v>35745</v>
          </cell>
          <cell r="C56" t="str">
            <v>お茶</v>
          </cell>
          <cell r="E56">
            <v>503</v>
          </cell>
          <cell r="F56" t="str">
            <v>福利厚生費</v>
          </cell>
          <cell r="G56">
            <v>100</v>
          </cell>
          <cell r="H56" t="str">
            <v>現金</v>
          </cell>
          <cell r="J56">
            <v>325</v>
          </cell>
          <cell r="K56">
            <v>-562303</v>
          </cell>
        </row>
        <row r="57">
          <cell r="A57">
            <v>52</v>
          </cell>
          <cell r="B57">
            <v>35746</v>
          </cell>
          <cell r="C57" t="str">
            <v>水道</v>
          </cell>
          <cell r="D57" t="str">
            <v>東京水道局</v>
          </cell>
          <cell r="E57">
            <v>530</v>
          </cell>
          <cell r="F57" t="str">
            <v>水道光熱費</v>
          </cell>
          <cell r="G57">
            <v>114</v>
          </cell>
          <cell r="H57" t="str">
            <v>普通預金</v>
          </cell>
          <cell r="J57">
            <v>2731</v>
          </cell>
          <cell r="K57">
            <v>-565034</v>
          </cell>
        </row>
        <row r="58">
          <cell r="A58">
            <v>53</v>
          </cell>
          <cell r="B58">
            <v>35746</v>
          </cell>
          <cell r="C58" t="str">
            <v>コンピュータ関連</v>
          </cell>
          <cell r="E58">
            <v>516</v>
          </cell>
          <cell r="F58" t="str">
            <v>図書研究費</v>
          </cell>
          <cell r="G58">
            <v>100</v>
          </cell>
          <cell r="H58" t="str">
            <v>現金</v>
          </cell>
          <cell r="J58">
            <v>900</v>
          </cell>
          <cell r="K58">
            <v>-565934</v>
          </cell>
        </row>
        <row r="59">
          <cell r="A59">
            <v>54</v>
          </cell>
          <cell r="B59">
            <v>35747</v>
          </cell>
          <cell r="C59" t="str">
            <v>コンピュータ関連</v>
          </cell>
          <cell r="E59">
            <v>516</v>
          </cell>
          <cell r="F59" t="str">
            <v>図書研究費</v>
          </cell>
          <cell r="G59">
            <v>100</v>
          </cell>
          <cell r="H59" t="str">
            <v>現金</v>
          </cell>
          <cell r="J59">
            <v>1251</v>
          </cell>
          <cell r="K59">
            <v>-567185</v>
          </cell>
        </row>
        <row r="60">
          <cell r="A60">
            <v>55</v>
          </cell>
          <cell r="B60">
            <v>35747</v>
          </cell>
          <cell r="C60" t="str">
            <v>お茶代</v>
          </cell>
          <cell r="E60">
            <v>503</v>
          </cell>
          <cell r="F60" t="str">
            <v>福利厚生費</v>
          </cell>
          <cell r="G60">
            <v>100</v>
          </cell>
          <cell r="H60" t="str">
            <v>現金</v>
          </cell>
          <cell r="J60">
            <v>312</v>
          </cell>
          <cell r="K60">
            <v>-567497</v>
          </cell>
        </row>
        <row r="61">
          <cell r="A61">
            <v>56</v>
          </cell>
          <cell r="B61">
            <v>35748</v>
          </cell>
          <cell r="C61" t="str">
            <v>亀コン　手土産</v>
          </cell>
          <cell r="E61">
            <v>521</v>
          </cell>
          <cell r="F61" t="str">
            <v>接待交際費</v>
          </cell>
          <cell r="G61">
            <v>100</v>
          </cell>
          <cell r="H61" t="str">
            <v>現金</v>
          </cell>
          <cell r="J61">
            <v>2500</v>
          </cell>
          <cell r="K61">
            <v>-569997</v>
          </cell>
        </row>
        <row r="62">
          <cell r="A62">
            <v>57</v>
          </cell>
          <cell r="B62">
            <v>35749</v>
          </cell>
          <cell r="C62" t="str">
            <v>茶菓子代</v>
          </cell>
          <cell r="E62">
            <v>503</v>
          </cell>
          <cell r="F62" t="str">
            <v>福利厚生費</v>
          </cell>
          <cell r="G62">
            <v>100</v>
          </cell>
          <cell r="H62" t="str">
            <v>現金</v>
          </cell>
          <cell r="J62">
            <v>1080</v>
          </cell>
          <cell r="K62">
            <v>-571077</v>
          </cell>
        </row>
        <row r="63">
          <cell r="A63">
            <v>58</v>
          </cell>
          <cell r="B63">
            <v>35750</v>
          </cell>
          <cell r="C63" t="str">
            <v>筆記用品</v>
          </cell>
          <cell r="E63">
            <v>524</v>
          </cell>
          <cell r="F63" t="str">
            <v>事務消耗品費</v>
          </cell>
          <cell r="G63">
            <v>100</v>
          </cell>
          <cell r="H63" t="str">
            <v>現金</v>
          </cell>
          <cell r="J63">
            <v>241</v>
          </cell>
          <cell r="K63">
            <v>-571318</v>
          </cell>
        </row>
        <row r="64">
          <cell r="A64">
            <v>59</v>
          </cell>
          <cell r="B64">
            <v>35751</v>
          </cell>
          <cell r="C64" t="str">
            <v>電気</v>
          </cell>
          <cell r="D64" t="str">
            <v>東京電力</v>
          </cell>
          <cell r="E64">
            <v>530</v>
          </cell>
          <cell r="F64" t="str">
            <v>水道光熱費</v>
          </cell>
          <cell r="G64">
            <v>114</v>
          </cell>
          <cell r="H64" t="str">
            <v>普通預金</v>
          </cell>
          <cell r="J64">
            <v>2832</v>
          </cell>
          <cell r="K64">
            <v>-574150</v>
          </cell>
        </row>
        <row r="65">
          <cell r="A65">
            <v>60</v>
          </cell>
          <cell r="B65">
            <v>35751</v>
          </cell>
          <cell r="C65" t="str">
            <v>ガムテープ</v>
          </cell>
          <cell r="E65">
            <v>524</v>
          </cell>
          <cell r="F65" t="str">
            <v>事務消耗品費</v>
          </cell>
          <cell r="G65">
            <v>100</v>
          </cell>
          <cell r="H65" t="str">
            <v>現金</v>
          </cell>
          <cell r="J65">
            <v>459</v>
          </cell>
          <cell r="K65">
            <v>-574609</v>
          </cell>
        </row>
        <row r="66">
          <cell r="A66">
            <v>61</v>
          </cell>
          <cell r="B66">
            <v>35752</v>
          </cell>
          <cell r="C66" t="str">
            <v>電話料金</v>
          </cell>
          <cell r="E66">
            <v>523</v>
          </cell>
          <cell r="F66" t="str">
            <v>通信費</v>
          </cell>
          <cell r="G66">
            <v>100</v>
          </cell>
          <cell r="H66" t="str">
            <v>現金</v>
          </cell>
          <cell r="J66">
            <v>3133</v>
          </cell>
          <cell r="K66">
            <v>-577742</v>
          </cell>
        </row>
        <row r="67">
          <cell r="A67">
            <v>62</v>
          </cell>
          <cell r="B67">
            <v>35755</v>
          </cell>
          <cell r="C67" t="str">
            <v>ガス</v>
          </cell>
          <cell r="D67" t="str">
            <v>東京ガス</v>
          </cell>
          <cell r="E67">
            <v>530</v>
          </cell>
          <cell r="F67" t="str">
            <v>水道光熱費</v>
          </cell>
          <cell r="G67">
            <v>114</v>
          </cell>
          <cell r="H67" t="str">
            <v>普通預金</v>
          </cell>
          <cell r="J67">
            <v>4018</v>
          </cell>
          <cell r="K67">
            <v>-581760</v>
          </cell>
        </row>
        <row r="68">
          <cell r="A68">
            <v>63</v>
          </cell>
          <cell r="B68">
            <v>35756</v>
          </cell>
          <cell r="C68" t="str">
            <v>コンピュータ関連</v>
          </cell>
          <cell r="E68">
            <v>516</v>
          </cell>
          <cell r="F68" t="str">
            <v>図書研究費</v>
          </cell>
          <cell r="G68">
            <v>100</v>
          </cell>
          <cell r="H68" t="str">
            <v>現金</v>
          </cell>
          <cell r="J68">
            <v>3683</v>
          </cell>
          <cell r="K68">
            <v>-585443</v>
          </cell>
        </row>
        <row r="69">
          <cell r="A69">
            <v>64</v>
          </cell>
          <cell r="B69">
            <v>35757</v>
          </cell>
          <cell r="C69" t="str">
            <v>コンピュータ関連</v>
          </cell>
          <cell r="E69">
            <v>516</v>
          </cell>
          <cell r="F69" t="str">
            <v>図書研究費</v>
          </cell>
          <cell r="G69">
            <v>100</v>
          </cell>
          <cell r="H69" t="str">
            <v>現金</v>
          </cell>
          <cell r="J69">
            <v>999</v>
          </cell>
          <cell r="K69">
            <v>-586442</v>
          </cell>
        </row>
        <row r="70">
          <cell r="A70">
            <v>65</v>
          </cell>
          <cell r="B70">
            <v>35757</v>
          </cell>
          <cell r="C70" t="str">
            <v>FAX(ビ・アーム）</v>
          </cell>
          <cell r="E70">
            <v>523</v>
          </cell>
          <cell r="F70" t="str">
            <v>通信費</v>
          </cell>
          <cell r="G70">
            <v>100</v>
          </cell>
          <cell r="H70" t="str">
            <v>現金</v>
          </cell>
          <cell r="J70">
            <v>200</v>
          </cell>
          <cell r="K70">
            <v>-586642</v>
          </cell>
        </row>
        <row r="71">
          <cell r="A71">
            <v>66</v>
          </cell>
          <cell r="B71">
            <v>35760</v>
          </cell>
          <cell r="C71" t="str">
            <v>家賃</v>
          </cell>
          <cell r="E71">
            <v>528</v>
          </cell>
          <cell r="F71" t="str">
            <v>地代・家賃</v>
          </cell>
          <cell r="G71">
            <v>100</v>
          </cell>
          <cell r="H71" t="str">
            <v>現金</v>
          </cell>
          <cell r="J71">
            <v>89000</v>
          </cell>
          <cell r="K71">
            <v>-675642</v>
          </cell>
        </row>
        <row r="72">
          <cell r="A72">
            <v>67</v>
          </cell>
          <cell r="B72">
            <v>35761</v>
          </cell>
          <cell r="C72" t="str">
            <v>FAX（エステック）</v>
          </cell>
          <cell r="E72">
            <v>523</v>
          </cell>
          <cell r="F72" t="str">
            <v>通信費</v>
          </cell>
          <cell r="G72">
            <v>100</v>
          </cell>
          <cell r="H72" t="str">
            <v>現金</v>
          </cell>
          <cell r="J72">
            <v>150</v>
          </cell>
          <cell r="K72">
            <v>-675792</v>
          </cell>
        </row>
        <row r="73">
          <cell r="A73">
            <v>68</v>
          </cell>
          <cell r="B73">
            <v>35764</v>
          </cell>
          <cell r="C73" t="str">
            <v>コンピュータ関連</v>
          </cell>
          <cell r="E73">
            <v>516</v>
          </cell>
          <cell r="F73" t="str">
            <v>図書研究費</v>
          </cell>
          <cell r="G73">
            <v>100</v>
          </cell>
          <cell r="H73" t="str">
            <v>現金</v>
          </cell>
          <cell r="J73">
            <v>1000</v>
          </cell>
          <cell r="K73">
            <v>-676792</v>
          </cell>
        </row>
        <row r="74">
          <cell r="A74">
            <v>69</v>
          </cell>
          <cell r="B74">
            <v>35764</v>
          </cell>
          <cell r="C74" t="str">
            <v>カレンダー</v>
          </cell>
          <cell r="E74">
            <v>524</v>
          </cell>
          <cell r="F74" t="str">
            <v>事務消耗品費</v>
          </cell>
          <cell r="G74">
            <v>100</v>
          </cell>
          <cell r="H74" t="str">
            <v>現金</v>
          </cell>
          <cell r="J74">
            <v>892</v>
          </cell>
          <cell r="K74">
            <v>-677684</v>
          </cell>
        </row>
        <row r="75">
          <cell r="A75">
            <v>70</v>
          </cell>
          <cell r="B75">
            <v>35770</v>
          </cell>
          <cell r="C75" t="str">
            <v>会社関連</v>
          </cell>
          <cell r="E75">
            <v>516</v>
          </cell>
          <cell r="F75" t="str">
            <v>図書研究費</v>
          </cell>
          <cell r="G75">
            <v>100</v>
          </cell>
          <cell r="H75" t="str">
            <v>現金</v>
          </cell>
          <cell r="J75">
            <v>3710</v>
          </cell>
          <cell r="K75">
            <v>-681394</v>
          </cell>
        </row>
        <row r="76">
          <cell r="A76">
            <v>71</v>
          </cell>
          <cell r="B76">
            <v>35770</v>
          </cell>
          <cell r="C76" t="str">
            <v>電話料金</v>
          </cell>
          <cell r="E76">
            <v>523</v>
          </cell>
          <cell r="F76" t="str">
            <v>通信費</v>
          </cell>
          <cell r="G76">
            <v>100</v>
          </cell>
          <cell r="H76" t="str">
            <v>現金</v>
          </cell>
          <cell r="J76">
            <v>3150</v>
          </cell>
          <cell r="K76">
            <v>-684544</v>
          </cell>
        </row>
        <row r="77">
          <cell r="A77">
            <v>72</v>
          </cell>
          <cell r="B77">
            <v>35770</v>
          </cell>
          <cell r="C77" t="str">
            <v>ファイル・筆記用品</v>
          </cell>
          <cell r="E77">
            <v>524</v>
          </cell>
          <cell r="F77" t="str">
            <v>事務消耗品費</v>
          </cell>
          <cell r="G77">
            <v>100</v>
          </cell>
          <cell r="H77" t="str">
            <v>現金</v>
          </cell>
          <cell r="J77">
            <v>2650</v>
          </cell>
          <cell r="K77">
            <v>-687194</v>
          </cell>
        </row>
        <row r="78">
          <cell r="A78">
            <v>73</v>
          </cell>
          <cell r="B78">
            <v>35771</v>
          </cell>
          <cell r="C78" t="str">
            <v>ごみ袋他</v>
          </cell>
          <cell r="E78">
            <v>538</v>
          </cell>
          <cell r="F78" t="str">
            <v>雑費</v>
          </cell>
          <cell r="G78">
            <v>100</v>
          </cell>
          <cell r="H78" t="str">
            <v>現金</v>
          </cell>
          <cell r="J78">
            <v>528</v>
          </cell>
          <cell r="K78">
            <v>-687722</v>
          </cell>
        </row>
        <row r="79">
          <cell r="A79">
            <v>74</v>
          </cell>
          <cell r="B79">
            <v>35774</v>
          </cell>
          <cell r="C79" t="str">
            <v>洗剤</v>
          </cell>
          <cell r="E79">
            <v>525</v>
          </cell>
          <cell r="F79" t="str">
            <v>消耗品費</v>
          </cell>
          <cell r="G79">
            <v>100</v>
          </cell>
          <cell r="H79" t="str">
            <v>現金</v>
          </cell>
          <cell r="J79">
            <v>522</v>
          </cell>
          <cell r="K79">
            <v>-688244</v>
          </cell>
        </row>
        <row r="80">
          <cell r="A80">
            <v>75</v>
          </cell>
          <cell r="B80">
            <v>35775</v>
          </cell>
          <cell r="C80" t="str">
            <v>カーボン紙</v>
          </cell>
          <cell r="E80">
            <v>524</v>
          </cell>
          <cell r="F80" t="str">
            <v>事務消耗品費</v>
          </cell>
          <cell r="G80">
            <v>100</v>
          </cell>
          <cell r="H80" t="str">
            <v>現金</v>
          </cell>
          <cell r="J80">
            <v>577</v>
          </cell>
          <cell r="K80">
            <v>-688821</v>
          </cell>
        </row>
        <row r="81">
          <cell r="A81">
            <v>76</v>
          </cell>
          <cell r="B81">
            <v>35776</v>
          </cell>
          <cell r="C81" t="str">
            <v>定款認証手数料</v>
          </cell>
          <cell r="E81">
            <v>512</v>
          </cell>
          <cell r="F81" t="str">
            <v>支払手数料</v>
          </cell>
          <cell r="G81">
            <v>100</v>
          </cell>
          <cell r="H81" t="str">
            <v>現金</v>
          </cell>
          <cell r="J81">
            <v>50000</v>
          </cell>
          <cell r="K81">
            <v>-738821</v>
          </cell>
        </row>
        <row r="82">
          <cell r="A82">
            <v>77</v>
          </cell>
          <cell r="B82">
            <v>35776</v>
          </cell>
          <cell r="C82" t="str">
            <v>謄本手数料</v>
          </cell>
          <cell r="E82">
            <v>512</v>
          </cell>
          <cell r="F82" t="str">
            <v>支払手数料</v>
          </cell>
          <cell r="G82">
            <v>100</v>
          </cell>
          <cell r="H82" t="str">
            <v>現金</v>
          </cell>
          <cell r="J82">
            <v>1250</v>
          </cell>
          <cell r="K82">
            <v>-740071</v>
          </cell>
        </row>
        <row r="83">
          <cell r="A83">
            <v>78</v>
          </cell>
          <cell r="B83">
            <v>35776</v>
          </cell>
          <cell r="C83" t="str">
            <v>印紙</v>
          </cell>
          <cell r="E83">
            <v>526</v>
          </cell>
          <cell r="F83" t="str">
            <v>租税公課</v>
          </cell>
          <cell r="G83">
            <v>100</v>
          </cell>
          <cell r="H83" t="str">
            <v>現金</v>
          </cell>
          <cell r="J83">
            <v>40000</v>
          </cell>
          <cell r="K83">
            <v>-780071</v>
          </cell>
        </row>
        <row r="84">
          <cell r="A84">
            <v>79</v>
          </cell>
          <cell r="B84">
            <v>35778</v>
          </cell>
          <cell r="C84" t="str">
            <v>宅配便(書類）</v>
          </cell>
          <cell r="E84">
            <v>511</v>
          </cell>
          <cell r="F84" t="str">
            <v>運賃</v>
          </cell>
          <cell r="G84">
            <v>100</v>
          </cell>
          <cell r="H84" t="str">
            <v>現金</v>
          </cell>
          <cell r="J84">
            <v>1060</v>
          </cell>
          <cell r="K84">
            <v>-781131</v>
          </cell>
        </row>
        <row r="85">
          <cell r="A85">
            <v>80</v>
          </cell>
          <cell r="B85">
            <v>35778</v>
          </cell>
          <cell r="C85" t="str">
            <v>筆記用品</v>
          </cell>
          <cell r="E85">
            <v>524</v>
          </cell>
          <cell r="F85" t="str">
            <v>事務消耗品費</v>
          </cell>
          <cell r="G85">
            <v>100</v>
          </cell>
          <cell r="H85" t="str">
            <v>現金</v>
          </cell>
          <cell r="J85">
            <v>525</v>
          </cell>
          <cell r="K85">
            <v>-781656</v>
          </cell>
        </row>
        <row r="86">
          <cell r="A86">
            <v>81</v>
          </cell>
          <cell r="B86">
            <v>35779</v>
          </cell>
          <cell r="C86" t="str">
            <v>電気</v>
          </cell>
          <cell r="D86" t="str">
            <v>東京電力</v>
          </cell>
          <cell r="E86">
            <v>530</v>
          </cell>
          <cell r="F86" t="str">
            <v>水道光熱費</v>
          </cell>
          <cell r="G86">
            <v>114</v>
          </cell>
          <cell r="H86" t="str">
            <v>普通預金</v>
          </cell>
          <cell r="J86">
            <v>3919</v>
          </cell>
          <cell r="K86">
            <v>-785575</v>
          </cell>
        </row>
        <row r="87">
          <cell r="A87">
            <v>82</v>
          </cell>
          <cell r="B87">
            <v>35779</v>
          </cell>
          <cell r="C87" t="str">
            <v>印鑑証明</v>
          </cell>
          <cell r="E87">
            <v>538</v>
          </cell>
          <cell r="F87" t="str">
            <v>雑費</v>
          </cell>
          <cell r="G87">
            <v>100</v>
          </cell>
          <cell r="H87" t="str">
            <v>現金</v>
          </cell>
          <cell r="J87">
            <v>900</v>
          </cell>
          <cell r="K87">
            <v>-786475</v>
          </cell>
        </row>
        <row r="88">
          <cell r="A88">
            <v>83</v>
          </cell>
          <cell r="B88">
            <v>35780</v>
          </cell>
          <cell r="C88" t="str">
            <v>クリアファイル</v>
          </cell>
          <cell r="E88">
            <v>524</v>
          </cell>
          <cell r="F88" t="str">
            <v>事務消耗品費</v>
          </cell>
          <cell r="G88">
            <v>100</v>
          </cell>
          <cell r="H88" t="str">
            <v>現金</v>
          </cell>
          <cell r="J88">
            <v>1600</v>
          </cell>
          <cell r="K88">
            <v>-788075</v>
          </cell>
        </row>
        <row r="89">
          <cell r="A89">
            <v>84</v>
          </cell>
          <cell r="B89">
            <v>35781</v>
          </cell>
          <cell r="C89" t="str">
            <v>出資払込金取扱手数料</v>
          </cell>
          <cell r="E89">
            <v>512</v>
          </cell>
          <cell r="F89" t="str">
            <v>支払手数料</v>
          </cell>
          <cell r="G89">
            <v>100</v>
          </cell>
          <cell r="H89" t="str">
            <v>現金</v>
          </cell>
          <cell r="J89">
            <v>7500</v>
          </cell>
          <cell r="K89">
            <v>-795575</v>
          </cell>
        </row>
        <row r="90">
          <cell r="A90">
            <v>85</v>
          </cell>
          <cell r="B90">
            <v>35782</v>
          </cell>
          <cell r="C90" t="str">
            <v>コピー</v>
          </cell>
          <cell r="E90">
            <v>524</v>
          </cell>
          <cell r="F90" t="str">
            <v>事務消耗品費</v>
          </cell>
          <cell r="G90">
            <v>100</v>
          </cell>
          <cell r="H90" t="str">
            <v>現金</v>
          </cell>
          <cell r="J90">
            <v>420</v>
          </cell>
          <cell r="K90">
            <v>-795995</v>
          </cell>
        </row>
        <row r="91">
          <cell r="A91">
            <v>86</v>
          </cell>
          <cell r="B91">
            <v>35783</v>
          </cell>
          <cell r="C91" t="str">
            <v>ガス</v>
          </cell>
          <cell r="D91" t="str">
            <v>東京ガス</v>
          </cell>
          <cell r="E91">
            <v>530</v>
          </cell>
          <cell r="F91" t="str">
            <v>水道光熱費</v>
          </cell>
          <cell r="G91">
            <v>114</v>
          </cell>
          <cell r="H91" t="str">
            <v>普通預金</v>
          </cell>
          <cell r="J91">
            <v>4154</v>
          </cell>
          <cell r="K91">
            <v>-800149</v>
          </cell>
        </row>
        <row r="92">
          <cell r="A92">
            <v>87</v>
          </cell>
          <cell r="B92">
            <v>35786</v>
          </cell>
          <cell r="C92" t="str">
            <v>収納ケース</v>
          </cell>
          <cell r="E92">
            <v>525</v>
          </cell>
          <cell r="F92" t="str">
            <v>消耗品費</v>
          </cell>
          <cell r="G92">
            <v>100</v>
          </cell>
          <cell r="H92" t="str">
            <v>現金</v>
          </cell>
          <cell r="J92">
            <v>1050</v>
          </cell>
          <cell r="K92">
            <v>-801199</v>
          </cell>
        </row>
        <row r="93">
          <cell r="A93">
            <v>88</v>
          </cell>
          <cell r="B93">
            <v>35786</v>
          </cell>
          <cell r="C93" t="str">
            <v>ステープラ・ボールペン他</v>
          </cell>
          <cell r="E93">
            <v>524</v>
          </cell>
          <cell r="F93" t="str">
            <v>事務消耗品費</v>
          </cell>
          <cell r="G93">
            <v>100</v>
          </cell>
          <cell r="H93" t="str">
            <v>現金</v>
          </cell>
          <cell r="J93">
            <v>1596</v>
          </cell>
          <cell r="K93">
            <v>-802795</v>
          </cell>
        </row>
        <row r="94">
          <cell r="A94">
            <v>89</v>
          </cell>
          <cell r="B94">
            <v>35786</v>
          </cell>
          <cell r="C94" t="str">
            <v>コピー</v>
          </cell>
          <cell r="E94">
            <v>524</v>
          </cell>
          <cell r="F94" t="str">
            <v>事務消耗品費</v>
          </cell>
          <cell r="G94">
            <v>100</v>
          </cell>
          <cell r="H94" t="str">
            <v>現金</v>
          </cell>
          <cell r="J94">
            <v>672</v>
          </cell>
          <cell r="K94">
            <v>-803467</v>
          </cell>
        </row>
        <row r="95">
          <cell r="A95">
            <v>90</v>
          </cell>
          <cell r="B95">
            <v>35788</v>
          </cell>
          <cell r="C95" t="str">
            <v>コンピュータ関連</v>
          </cell>
          <cell r="E95">
            <v>516</v>
          </cell>
          <cell r="F95" t="str">
            <v>図書研究費</v>
          </cell>
          <cell r="G95">
            <v>100</v>
          </cell>
          <cell r="H95" t="str">
            <v>現金</v>
          </cell>
          <cell r="J95">
            <v>788</v>
          </cell>
          <cell r="K95">
            <v>-804255</v>
          </cell>
        </row>
        <row r="96">
          <cell r="A96">
            <v>91</v>
          </cell>
          <cell r="B96">
            <v>35789</v>
          </cell>
          <cell r="C96" t="str">
            <v>朱肉</v>
          </cell>
          <cell r="E96">
            <v>524</v>
          </cell>
          <cell r="F96" t="str">
            <v>事務消耗品費</v>
          </cell>
          <cell r="G96">
            <v>100</v>
          </cell>
          <cell r="H96" t="str">
            <v>現金</v>
          </cell>
          <cell r="J96">
            <v>2700</v>
          </cell>
          <cell r="K96">
            <v>-806955</v>
          </cell>
        </row>
        <row r="97">
          <cell r="A97">
            <v>92</v>
          </cell>
          <cell r="B97">
            <v>35789</v>
          </cell>
          <cell r="C97" t="str">
            <v>プリンタインクカートリッジ</v>
          </cell>
          <cell r="E97">
            <v>524</v>
          </cell>
          <cell r="F97" t="str">
            <v>事務消耗品費</v>
          </cell>
          <cell r="G97">
            <v>100</v>
          </cell>
          <cell r="H97" t="str">
            <v>現金</v>
          </cell>
          <cell r="J97">
            <v>980</v>
          </cell>
          <cell r="K97">
            <v>-807935</v>
          </cell>
        </row>
        <row r="98">
          <cell r="A98">
            <v>93</v>
          </cell>
          <cell r="B98">
            <v>35789</v>
          </cell>
          <cell r="C98" t="str">
            <v>家賃</v>
          </cell>
          <cell r="E98">
            <v>528</v>
          </cell>
          <cell r="F98" t="str">
            <v>地代・家賃</v>
          </cell>
          <cell r="G98">
            <v>100</v>
          </cell>
          <cell r="H98" t="str">
            <v>現金</v>
          </cell>
          <cell r="J98">
            <v>89000</v>
          </cell>
          <cell r="K98">
            <v>-896935</v>
          </cell>
        </row>
        <row r="99">
          <cell r="A99">
            <v>94</v>
          </cell>
          <cell r="B99">
            <v>35790</v>
          </cell>
          <cell r="C99" t="str">
            <v>テレビ受信料</v>
          </cell>
          <cell r="D99" t="str">
            <v>ＮＨＫ</v>
          </cell>
          <cell r="E99">
            <v>538</v>
          </cell>
          <cell r="F99" t="str">
            <v>雑費</v>
          </cell>
          <cell r="G99">
            <v>114</v>
          </cell>
          <cell r="H99" t="str">
            <v>普通預金</v>
          </cell>
          <cell r="J99">
            <v>7650</v>
          </cell>
          <cell r="K99">
            <v>-904585</v>
          </cell>
        </row>
        <row r="100">
          <cell r="A100">
            <v>95</v>
          </cell>
          <cell r="B100">
            <v>35790</v>
          </cell>
          <cell r="C100" t="str">
            <v>登記用収入印紙</v>
          </cell>
          <cell r="E100">
            <v>526</v>
          </cell>
          <cell r="F100" t="str">
            <v>租税公課</v>
          </cell>
          <cell r="G100">
            <v>100</v>
          </cell>
          <cell r="H100" t="str">
            <v>現金</v>
          </cell>
          <cell r="J100">
            <v>60000</v>
          </cell>
          <cell r="K100">
            <v>-964585</v>
          </cell>
        </row>
        <row r="101">
          <cell r="A101">
            <v>96</v>
          </cell>
          <cell r="B101">
            <v>35791</v>
          </cell>
          <cell r="C101" t="str">
            <v>システム手帳</v>
          </cell>
          <cell r="E101">
            <v>524</v>
          </cell>
          <cell r="F101" t="str">
            <v>事務消耗品費</v>
          </cell>
          <cell r="G101">
            <v>100</v>
          </cell>
          <cell r="H101" t="str">
            <v>現金</v>
          </cell>
          <cell r="J101">
            <v>8547</v>
          </cell>
          <cell r="K101">
            <v>-973132</v>
          </cell>
        </row>
        <row r="102">
          <cell r="A102">
            <v>97</v>
          </cell>
          <cell r="B102">
            <v>35791</v>
          </cell>
          <cell r="C102" t="str">
            <v>ハンガー</v>
          </cell>
          <cell r="E102">
            <v>525</v>
          </cell>
          <cell r="F102" t="str">
            <v>消耗品費</v>
          </cell>
          <cell r="G102">
            <v>100</v>
          </cell>
          <cell r="H102" t="str">
            <v>現金</v>
          </cell>
          <cell r="J102">
            <v>525</v>
          </cell>
          <cell r="K102">
            <v>-973657</v>
          </cell>
        </row>
        <row r="103">
          <cell r="A103">
            <v>98</v>
          </cell>
          <cell r="B103">
            <v>35792</v>
          </cell>
          <cell r="C103" t="str">
            <v>茶菓子代</v>
          </cell>
          <cell r="E103">
            <v>503</v>
          </cell>
          <cell r="F103" t="str">
            <v>福利厚生費</v>
          </cell>
          <cell r="G103">
            <v>100</v>
          </cell>
          <cell r="H103" t="str">
            <v>現金</v>
          </cell>
          <cell r="J103">
            <v>1644</v>
          </cell>
          <cell r="K103">
            <v>-975301</v>
          </cell>
        </row>
        <row r="104">
          <cell r="A104">
            <v>99</v>
          </cell>
          <cell r="B104">
            <v>35793</v>
          </cell>
          <cell r="C104" t="str">
            <v>(株）ビ・アーム山際社長</v>
          </cell>
          <cell r="E104">
            <v>535</v>
          </cell>
          <cell r="F104" t="str">
            <v>会議費</v>
          </cell>
          <cell r="G104">
            <v>100</v>
          </cell>
          <cell r="H104" t="str">
            <v>現金</v>
          </cell>
          <cell r="J104">
            <v>5092</v>
          </cell>
          <cell r="K104">
            <v>-980393</v>
          </cell>
        </row>
        <row r="105">
          <cell r="A105">
            <v>100</v>
          </cell>
          <cell r="B105">
            <v>35793</v>
          </cell>
          <cell r="C105" t="str">
            <v>電話料金</v>
          </cell>
          <cell r="D105" t="str">
            <v>ＤＤＩポケット</v>
          </cell>
          <cell r="E105">
            <v>523</v>
          </cell>
          <cell r="F105" t="str">
            <v>通信費</v>
          </cell>
          <cell r="G105">
            <v>114</v>
          </cell>
          <cell r="H105" t="str">
            <v>普通預金</v>
          </cell>
          <cell r="J105">
            <v>5292</v>
          </cell>
          <cell r="K105">
            <v>-985685</v>
          </cell>
        </row>
        <row r="106">
          <cell r="A106">
            <v>101</v>
          </cell>
          <cell r="B106">
            <v>35793</v>
          </cell>
          <cell r="C106" t="str">
            <v>コンピュータ関連</v>
          </cell>
          <cell r="E106">
            <v>516</v>
          </cell>
          <cell r="F106" t="str">
            <v>図書研究費</v>
          </cell>
          <cell r="G106">
            <v>100</v>
          </cell>
          <cell r="H106" t="str">
            <v>現金</v>
          </cell>
          <cell r="J106">
            <v>530</v>
          </cell>
          <cell r="K106">
            <v>-986215</v>
          </cell>
        </row>
        <row r="107">
          <cell r="A107">
            <v>102</v>
          </cell>
          <cell r="B107">
            <v>35793</v>
          </cell>
          <cell r="C107" t="str">
            <v>語学</v>
          </cell>
          <cell r="E107">
            <v>516</v>
          </cell>
          <cell r="F107" t="str">
            <v>図書研究費</v>
          </cell>
          <cell r="G107">
            <v>100</v>
          </cell>
          <cell r="H107" t="str">
            <v>現金</v>
          </cell>
          <cell r="J107">
            <v>1050</v>
          </cell>
          <cell r="K107">
            <v>-987265</v>
          </cell>
        </row>
        <row r="108">
          <cell r="A108">
            <v>103</v>
          </cell>
          <cell r="B108">
            <v>35794</v>
          </cell>
          <cell r="C108" t="str">
            <v>薬</v>
          </cell>
          <cell r="E108">
            <v>538</v>
          </cell>
          <cell r="F108" t="str">
            <v>雑費</v>
          </cell>
          <cell r="G108">
            <v>100</v>
          </cell>
          <cell r="H108" t="str">
            <v>現金</v>
          </cell>
          <cell r="J108">
            <v>3349</v>
          </cell>
          <cell r="K108">
            <v>-990614</v>
          </cell>
        </row>
        <row r="109">
          <cell r="A109">
            <v>104</v>
          </cell>
          <cell r="B109">
            <v>35794</v>
          </cell>
          <cell r="C109" t="str">
            <v>フロッピーファイル</v>
          </cell>
          <cell r="E109">
            <v>524</v>
          </cell>
          <cell r="F109" t="str">
            <v>事務消耗品費</v>
          </cell>
          <cell r="G109">
            <v>100</v>
          </cell>
          <cell r="H109" t="str">
            <v>現金</v>
          </cell>
          <cell r="J109">
            <v>5985</v>
          </cell>
          <cell r="K109">
            <v>-996599</v>
          </cell>
        </row>
        <row r="110">
          <cell r="A110">
            <v>105</v>
          </cell>
          <cell r="B110">
            <v>35795</v>
          </cell>
          <cell r="C110" t="str">
            <v>定期代</v>
          </cell>
          <cell r="E110">
            <v>522</v>
          </cell>
          <cell r="F110" t="str">
            <v>旅費交通費</v>
          </cell>
          <cell r="G110">
            <v>100</v>
          </cell>
          <cell r="H110" t="str">
            <v>現金</v>
          </cell>
          <cell r="J110">
            <v>7600</v>
          </cell>
          <cell r="K110">
            <v>-1004199</v>
          </cell>
        </row>
        <row r="111">
          <cell r="A111">
            <v>106</v>
          </cell>
          <cell r="B111">
            <v>35795</v>
          </cell>
          <cell r="C111" t="str">
            <v>テニスコート代</v>
          </cell>
          <cell r="E111">
            <v>521</v>
          </cell>
          <cell r="F111" t="str">
            <v>接待交際費</v>
          </cell>
          <cell r="G111">
            <v>100</v>
          </cell>
          <cell r="H111" t="str">
            <v>現金</v>
          </cell>
          <cell r="J111">
            <v>5000</v>
          </cell>
          <cell r="K111">
            <v>-1009199</v>
          </cell>
        </row>
        <row r="112">
          <cell r="A112">
            <v>107</v>
          </cell>
          <cell r="B112">
            <v>35796</v>
          </cell>
          <cell r="C112" t="str">
            <v>テニスコート代</v>
          </cell>
          <cell r="D112" t="str">
            <v>明治神宮外苑軟式球場</v>
          </cell>
          <cell r="E112">
            <v>521</v>
          </cell>
          <cell r="F112" t="str">
            <v>接待交際費</v>
          </cell>
          <cell r="G112">
            <v>100</v>
          </cell>
          <cell r="H112" t="str">
            <v>現金</v>
          </cell>
          <cell r="J112">
            <v>10000</v>
          </cell>
          <cell r="K112">
            <v>-1019199</v>
          </cell>
        </row>
        <row r="113">
          <cell r="A113">
            <v>108</v>
          </cell>
          <cell r="B113">
            <v>35798</v>
          </cell>
          <cell r="C113" t="str">
            <v>テニスボール</v>
          </cell>
          <cell r="D113" t="str">
            <v>Victoria</v>
          </cell>
          <cell r="E113">
            <v>503</v>
          </cell>
          <cell r="F113" t="str">
            <v>福利厚生費</v>
          </cell>
          <cell r="G113">
            <v>100</v>
          </cell>
          <cell r="H113" t="str">
            <v>現金</v>
          </cell>
          <cell r="J113">
            <v>1470</v>
          </cell>
          <cell r="K113">
            <v>-1020669</v>
          </cell>
        </row>
        <row r="114">
          <cell r="A114">
            <v>109</v>
          </cell>
          <cell r="B114">
            <v>35798</v>
          </cell>
          <cell r="C114" t="str">
            <v>メトロカード</v>
          </cell>
          <cell r="D114" t="str">
            <v>営団地下鉄</v>
          </cell>
          <cell r="E114">
            <v>522</v>
          </cell>
          <cell r="F114" t="str">
            <v>旅費交通費</v>
          </cell>
          <cell r="G114">
            <v>100</v>
          </cell>
          <cell r="H114" t="str">
            <v>現金</v>
          </cell>
          <cell r="J114">
            <v>1000</v>
          </cell>
          <cell r="K114">
            <v>-1021669</v>
          </cell>
        </row>
        <row r="115">
          <cell r="A115">
            <v>110</v>
          </cell>
          <cell r="B115">
            <v>35799</v>
          </cell>
          <cell r="C115" t="str">
            <v>FD.CD-ROMファイル</v>
          </cell>
          <cell r="D115" t="str">
            <v>伊勢丹</v>
          </cell>
          <cell r="E115">
            <v>524</v>
          </cell>
          <cell r="F115" t="str">
            <v>事務消耗品費</v>
          </cell>
          <cell r="G115">
            <v>100</v>
          </cell>
          <cell r="H115" t="str">
            <v>現金</v>
          </cell>
          <cell r="J115">
            <v>4935</v>
          </cell>
          <cell r="K115">
            <v>-1026604</v>
          </cell>
        </row>
        <row r="116">
          <cell r="A116">
            <v>111</v>
          </cell>
          <cell r="B116">
            <v>35799</v>
          </cell>
          <cell r="C116" t="str">
            <v>新年の挨拶手土産</v>
          </cell>
          <cell r="D116" t="str">
            <v>CARA</v>
          </cell>
          <cell r="E116">
            <v>521</v>
          </cell>
          <cell r="F116" t="str">
            <v>接待交際費</v>
          </cell>
          <cell r="G116">
            <v>100</v>
          </cell>
          <cell r="H116" t="str">
            <v>現金</v>
          </cell>
          <cell r="J116">
            <v>3150</v>
          </cell>
          <cell r="K116">
            <v>-1029754</v>
          </cell>
        </row>
        <row r="117">
          <cell r="A117">
            <v>112</v>
          </cell>
          <cell r="B117">
            <v>35800</v>
          </cell>
          <cell r="C117" t="str">
            <v>BGM用ＣＤ</v>
          </cell>
          <cell r="D117" t="str">
            <v>東急</v>
          </cell>
          <cell r="E117">
            <v>525</v>
          </cell>
          <cell r="F117" t="str">
            <v>消耗品費</v>
          </cell>
          <cell r="G117">
            <v>100</v>
          </cell>
          <cell r="H117" t="str">
            <v>現金</v>
          </cell>
          <cell r="J117">
            <v>5813</v>
          </cell>
          <cell r="K117">
            <v>-1035567</v>
          </cell>
        </row>
        <row r="118">
          <cell r="A118">
            <v>113</v>
          </cell>
          <cell r="B118">
            <v>35800</v>
          </cell>
          <cell r="C118" t="str">
            <v>書類入れ</v>
          </cell>
          <cell r="D118" t="str">
            <v>高島屋</v>
          </cell>
          <cell r="E118">
            <v>525</v>
          </cell>
          <cell r="F118" t="str">
            <v>消耗品費</v>
          </cell>
          <cell r="G118">
            <v>100</v>
          </cell>
          <cell r="H118" t="str">
            <v>現金</v>
          </cell>
          <cell r="J118">
            <v>1050</v>
          </cell>
          <cell r="K118">
            <v>-1036617</v>
          </cell>
        </row>
        <row r="119">
          <cell r="A119">
            <v>114</v>
          </cell>
          <cell r="B119">
            <v>35800</v>
          </cell>
          <cell r="C119" t="str">
            <v>フローチャート定規</v>
          </cell>
          <cell r="D119" t="str">
            <v>ダイエー</v>
          </cell>
          <cell r="E119">
            <v>524</v>
          </cell>
          <cell r="F119" t="str">
            <v>事務消耗品費</v>
          </cell>
          <cell r="G119">
            <v>100</v>
          </cell>
          <cell r="H119" t="str">
            <v>現金</v>
          </cell>
          <cell r="J119">
            <v>840</v>
          </cell>
          <cell r="K119">
            <v>-1037457</v>
          </cell>
        </row>
        <row r="120">
          <cell r="A120">
            <v>115</v>
          </cell>
          <cell r="B120">
            <v>35800</v>
          </cell>
          <cell r="C120" t="str">
            <v>ソフト</v>
          </cell>
          <cell r="D120" t="str">
            <v>ビックカメラ</v>
          </cell>
          <cell r="E120">
            <v>516</v>
          </cell>
          <cell r="F120" t="str">
            <v>図書研究費</v>
          </cell>
          <cell r="G120">
            <v>100</v>
          </cell>
          <cell r="H120" t="str">
            <v>現金</v>
          </cell>
          <cell r="J120">
            <v>16543</v>
          </cell>
          <cell r="K120">
            <v>-1054000</v>
          </cell>
        </row>
        <row r="121">
          <cell r="A121">
            <v>116</v>
          </cell>
          <cell r="B121">
            <v>35801</v>
          </cell>
          <cell r="C121" t="str">
            <v>新年の挨拶</v>
          </cell>
          <cell r="D121" t="str">
            <v>魚久</v>
          </cell>
          <cell r="E121">
            <v>521</v>
          </cell>
          <cell r="F121" t="str">
            <v>接待交際費</v>
          </cell>
          <cell r="G121">
            <v>100</v>
          </cell>
          <cell r="H121" t="str">
            <v>現金</v>
          </cell>
          <cell r="J121">
            <v>8500</v>
          </cell>
          <cell r="K121">
            <v>-1062500</v>
          </cell>
        </row>
        <row r="122">
          <cell r="A122">
            <v>117</v>
          </cell>
          <cell r="B122">
            <v>35802</v>
          </cell>
          <cell r="C122" t="str">
            <v>お茶</v>
          </cell>
          <cell r="D122" t="str">
            <v>ファミリーマート</v>
          </cell>
          <cell r="E122">
            <v>503</v>
          </cell>
          <cell r="F122" t="str">
            <v>福利厚生費</v>
          </cell>
          <cell r="G122">
            <v>100</v>
          </cell>
          <cell r="H122" t="str">
            <v>現金</v>
          </cell>
          <cell r="J122">
            <v>110</v>
          </cell>
          <cell r="K122">
            <v>-1062610</v>
          </cell>
        </row>
        <row r="123">
          <cell r="A123">
            <v>118</v>
          </cell>
          <cell r="B123">
            <v>35802</v>
          </cell>
          <cell r="C123" t="str">
            <v>コンピュータ関連雑誌</v>
          </cell>
          <cell r="D123" t="str">
            <v>ファミリーマート</v>
          </cell>
          <cell r="E123">
            <v>516</v>
          </cell>
          <cell r="F123" t="str">
            <v>図書研究費</v>
          </cell>
          <cell r="G123">
            <v>100</v>
          </cell>
          <cell r="H123" t="str">
            <v>現金</v>
          </cell>
          <cell r="J123">
            <v>260</v>
          </cell>
          <cell r="K123">
            <v>-1062870</v>
          </cell>
        </row>
        <row r="124">
          <cell r="A124">
            <v>119</v>
          </cell>
          <cell r="B124">
            <v>35802</v>
          </cell>
          <cell r="C124" t="str">
            <v>Tカード</v>
          </cell>
          <cell r="D124" t="str">
            <v>東京都交通局</v>
          </cell>
          <cell r="E124">
            <v>522</v>
          </cell>
          <cell r="F124" t="str">
            <v>旅費交通費</v>
          </cell>
          <cell r="G124">
            <v>100</v>
          </cell>
          <cell r="H124" t="str">
            <v>現金</v>
          </cell>
          <cell r="J124">
            <v>3000</v>
          </cell>
          <cell r="K124">
            <v>-1065870</v>
          </cell>
        </row>
        <row r="125">
          <cell r="A125">
            <v>120</v>
          </cell>
          <cell r="B125">
            <v>35804</v>
          </cell>
          <cell r="C125" t="str">
            <v>FAX</v>
          </cell>
          <cell r="D125" t="str">
            <v>ファミリーマート</v>
          </cell>
          <cell r="E125">
            <v>523</v>
          </cell>
          <cell r="F125" t="str">
            <v>通信費</v>
          </cell>
          <cell r="G125">
            <v>100</v>
          </cell>
          <cell r="H125" t="str">
            <v>現金</v>
          </cell>
          <cell r="J125">
            <v>200</v>
          </cell>
          <cell r="K125">
            <v>-1066070</v>
          </cell>
        </row>
        <row r="126">
          <cell r="A126">
            <v>121</v>
          </cell>
          <cell r="B126">
            <v>35805</v>
          </cell>
          <cell r="C126" t="str">
            <v>亀コン伊藤氏</v>
          </cell>
          <cell r="D126" t="str">
            <v>ピアチューレ</v>
          </cell>
          <cell r="E126">
            <v>535</v>
          </cell>
          <cell r="F126" t="str">
            <v>会議費</v>
          </cell>
          <cell r="G126">
            <v>100</v>
          </cell>
          <cell r="H126" t="str">
            <v>現金</v>
          </cell>
          <cell r="J126">
            <v>3244</v>
          </cell>
          <cell r="K126">
            <v>-1069314</v>
          </cell>
        </row>
        <row r="127">
          <cell r="A127">
            <v>122</v>
          </cell>
          <cell r="B127">
            <v>35806</v>
          </cell>
          <cell r="C127" t="str">
            <v>DPソフト</v>
          </cell>
          <cell r="D127" t="str">
            <v>ビックバーン</v>
          </cell>
          <cell r="E127">
            <v>516</v>
          </cell>
          <cell r="F127" t="str">
            <v>図書研究費</v>
          </cell>
          <cell r="G127">
            <v>100</v>
          </cell>
          <cell r="H127" t="str">
            <v>現金</v>
          </cell>
          <cell r="J127">
            <v>1155</v>
          </cell>
          <cell r="K127">
            <v>-1070469</v>
          </cell>
        </row>
        <row r="128">
          <cell r="A128">
            <v>123</v>
          </cell>
          <cell r="B128">
            <v>35806</v>
          </cell>
          <cell r="C128" t="str">
            <v>（株）ビ・アーム</v>
          </cell>
          <cell r="D128" t="str">
            <v>IZUMI</v>
          </cell>
          <cell r="E128">
            <v>521</v>
          </cell>
          <cell r="F128" t="str">
            <v>接待交際費</v>
          </cell>
          <cell r="G128">
            <v>100</v>
          </cell>
          <cell r="H128" t="str">
            <v>現金</v>
          </cell>
          <cell r="J128">
            <v>16590</v>
          </cell>
          <cell r="K128">
            <v>-1087059</v>
          </cell>
        </row>
        <row r="129">
          <cell r="A129">
            <v>124</v>
          </cell>
          <cell r="B129">
            <v>35806</v>
          </cell>
          <cell r="C129" t="str">
            <v>メトロカード</v>
          </cell>
          <cell r="D129" t="str">
            <v>営団地下鉄</v>
          </cell>
          <cell r="E129">
            <v>522</v>
          </cell>
          <cell r="F129" t="str">
            <v>旅費交通費</v>
          </cell>
          <cell r="G129">
            <v>100</v>
          </cell>
          <cell r="H129" t="str">
            <v>現金</v>
          </cell>
          <cell r="J129">
            <v>5000</v>
          </cell>
          <cell r="K129">
            <v>-1092059</v>
          </cell>
        </row>
        <row r="130">
          <cell r="A130">
            <v>125</v>
          </cell>
          <cell r="B130">
            <v>35807</v>
          </cell>
          <cell r="C130" t="str">
            <v>HGP四元氏</v>
          </cell>
          <cell r="D130" t="str">
            <v>ケンタッキー</v>
          </cell>
          <cell r="E130">
            <v>535</v>
          </cell>
          <cell r="F130" t="str">
            <v>会議費</v>
          </cell>
          <cell r="G130">
            <v>100</v>
          </cell>
          <cell r="H130" t="str">
            <v>現金</v>
          </cell>
          <cell r="J130">
            <v>903</v>
          </cell>
          <cell r="K130">
            <v>-1092962</v>
          </cell>
        </row>
        <row r="131">
          <cell r="A131">
            <v>126</v>
          </cell>
          <cell r="B131">
            <v>35808</v>
          </cell>
          <cell r="C131" t="str">
            <v>登記収入印紙</v>
          </cell>
          <cell r="D131" t="str">
            <v>吉村印紙売捌所</v>
          </cell>
          <cell r="E131">
            <v>526</v>
          </cell>
          <cell r="F131" t="str">
            <v>租税公課</v>
          </cell>
          <cell r="G131">
            <v>100</v>
          </cell>
          <cell r="H131" t="str">
            <v>現金</v>
          </cell>
          <cell r="J131">
            <v>5200</v>
          </cell>
          <cell r="K131">
            <v>-1098162</v>
          </cell>
        </row>
        <row r="132">
          <cell r="A132">
            <v>127</v>
          </cell>
          <cell r="B132">
            <v>35809</v>
          </cell>
          <cell r="C132" t="str">
            <v>システム帳</v>
          </cell>
          <cell r="D132" t="str">
            <v>萬力屋</v>
          </cell>
          <cell r="E132">
            <v>525</v>
          </cell>
          <cell r="F132" t="str">
            <v>消耗品費</v>
          </cell>
          <cell r="G132">
            <v>100</v>
          </cell>
          <cell r="H132" t="str">
            <v>現金</v>
          </cell>
          <cell r="J132">
            <v>5040</v>
          </cell>
          <cell r="K132">
            <v>-1103202</v>
          </cell>
        </row>
        <row r="133">
          <cell r="A133">
            <v>128</v>
          </cell>
          <cell r="B133">
            <v>35809</v>
          </cell>
          <cell r="C133" t="str">
            <v>電卓</v>
          </cell>
          <cell r="D133" t="str">
            <v>サンヨー堂</v>
          </cell>
          <cell r="E133">
            <v>524</v>
          </cell>
          <cell r="F133" t="str">
            <v>事務消耗品費</v>
          </cell>
          <cell r="G133">
            <v>100</v>
          </cell>
          <cell r="H133" t="str">
            <v>現金</v>
          </cell>
          <cell r="J133">
            <v>1575</v>
          </cell>
          <cell r="K133">
            <v>-1104777</v>
          </cell>
        </row>
        <row r="134">
          <cell r="A134">
            <v>129</v>
          </cell>
          <cell r="B134">
            <v>35809</v>
          </cell>
          <cell r="C134" t="str">
            <v>電話料金</v>
          </cell>
          <cell r="D134" t="str">
            <v>ＮＴＴ新宿支店</v>
          </cell>
          <cell r="E134">
            <v>523</v>
          </cell>
          <cell r="F134" t="str">
            <v>通信費</v>
          </cell>
          <cell r="G134">
            <v>100</v>
          </cell>
          <cell r="H134" t="str">
            <v>現金</v>
          </cell>
          <cell r="J134">
            <v>2709</v>
          </cell>
          <cell r="K134">
            <v>-1107486</v>
          </cell>
        </row>
        <row r="135">
          <cell r="A135">
            <v>130</v>
          </cell>
          <cell r="B135">
            <v>35809</v>
          </cell>
          <cell r="C135" t="str">
            <v>Tカード</v>
          </cell>
          <cell r="D135" t="str">
            <v>東京都交通局</v>
          </cell>
          <cell r="E135">
            <v>522</v>
          </cell>
          <cell r="F135" t="str">
            <v>旅費交通費</v>
          </cell>
          <cell r="G135">
            <v>100</v>
          </cell>
          <cell r="H135" t="str">
            <v>現金</v>
          </cell>
          <cell r="J135">
            <v>3000</v>
          </cell>
          <cell r="K135">
            <v>-1110486</v>
          </cell>
        </row>
        <row r="136">
          <cell r="A136">
            <v>131</v>
          </cell>
          <cell r="B136">
            <v>35809</v>
          </cell>
          <cell r="C136" t="str">
            <v>FAX</v>
          </cell>
          <cell r="D136" t="str">
            <v>ファミリーマート</v>
          </cell>
          <cell r="E136">
            <v>523</v>
          </cell>
          <cell r="F136" t="str">
            <v>通信費</v>
          </cell>
          <cell r="G136">
            <v>100</v>
          </cell>
          <cell r="H136" t="str">
            <v>現金</v>
          </cell>
          <cell r="J136">
            <v>2200</v>
          </cell>
          <cell r="K136">
            <v>-1112686</v>
          </cell>
        </row>
        <row r="137">
          <cell r="A137">
            <v>132</v>
          </cell>
          <cell r="B137">
            <v>35811</v>
          </cell>
          <cell r="C137" t="str">
            <v>亀コン竹下課長・霞主任</v>
          </cell>
          <cell r="E137">
            <v>535</v>
          </cell>
          <cell r="F137" t="str">
            <v>会議費</v>
          </cell>
          <cell r="G137">
            <v>100</v>
          </cell>
          <cell r="H137" t="str">
            <v>現金</v>
          </cell>
          <cell r="J137">
            <v>4977</v>
          </cell>
          <cell r="K137">
            <v>-1117663</v>
          </cell>
        </row>
        <row r="138">
          <cell r="A138">
            <v>133</v>
          </cell>
          <cell r="B138">
            <v>35811</v>
          </cell>
          <cell r="C138" t="str">
            <v>水道</v>
          </cell>
          <cell r="D138" t="str">
            <v>東京水道局</v>
          </cell>
          <cell r="E138">
            <v>530</v>
          </cell>
          <cell r="F138" t="str">
            <v>水道光熱費</v>
          </cell>
          <cell r="G138">
            <v>114</v>
          </cell>
          <cell r="H138" t="str">
            <v>普通預金</v>
          </cell>
          <cell r="J138">
            <v>4166</v>
          </cell>
          <cell r="K138">
            <v>-1121829</v>
          </cell>
        </row>
        <row r="139">
          <cell r="A139">
            <v>134</v>
          </cell>
          <cell r="B139">
            <v>35811</v>
          </cell>
          <cell r="C139" t="str">
            <v>電気</v>
          </cell>
          <cell r="D139" t="str">
            <v>東京電力</v>
          </cell>
          <cell r="E139">
            <v>530</v>
          </cell>
          <cell r="F139" t="str">
            <v>水道光熱費</v>
          </cell>
          <cell r="G139">
            <v>114</v>
          </cell>
          <cell r="H139" t="str">
            <v>普通預金</v>
          </cell>
          <cell r="J139">
            <v>7591</v>
          </cell>
          <cell r="K139">
            <v>-1129420</v>
          </cell>
        </row>
        <row r="140">
          <cell r="A140">
            <v>135</v>
          </cell>
          <cell r="B140">
            <v>35811</v>
          </cell>
          <cell r="C140" t="str">
            <v>電話料金</v>
          </cell>
          <cell r="D140" t="str">
            <v>日本テレコム</v>
          </cell>
          <cell r="E140">
            <v>523</v>
          </cell>
          <cell r="F140" t="str">
            <v>通信費</v>
          </cell>
          <cell r="G140">
            <v>114</v>
          </cell>
          <cell r="H140" t="str">
            <v>普通預金</v>
          </cell>
          <cell r="J140">
            <v>189</v>
          </cell>
          <cell r="K140">
            <v>-1129609</v>
          </cell>
        </row>
        <row r="141">
          <cell r="A141">
            <v>136</v>
          </cell>
          <cell r="B141">
            <v>35813</v>
          </cell>
          <cell r="C141" t="str">
            <v>夜食代</v>
          </cell>
          <cell r="D141" t="str">
            <v>セイフー</v>
          </cell>
          <cell r="E141">
            <v>503</v>
          </cell>
          <cell r="F141" t="str">
            <v>福利厚生費</v>
          </cell>
          <cell r="G141">
            <v>100</v>
          </cell>
          <cell r="H141" t="str">
            <v>現金</v>
          </cell>
          <cell r="J141">
            <v>2626</v>
          </cell>
          <cell r="K141">
            <v>-1132235</v>
          </cell>
        </row>
        <row r="142">
          <cell r="A142">
            <v>137</v>
          </cell>
          <cell r="B142">
            <v>35814</v>
          </cell>
          <cell r="C142" t="str">
            <v>コピー</v>
          </cell>
          <cell r="D142" t="str">
            <v>Ｋｉｎｋｏ’ｓ</v>
          </cell>
          <cell r="E142">
            <v>524</v>
          </cell>
          <cell r="F142" t="str">
            <v>事務消耗品費</v>
          </cell>
          <cell r="G142">
            <v>100</v>
          </cell>
          <cell r="H142" t="str">
            <v>現金</v>
          </cell>
          <cell r="J142">
            <v>556</v>
          </cell>
          <cell r="K142">
            <v>-1132791</v>
          </cell>
        </row>
        <row r="143">
          <cell r="A143">
            <v>138</v>
          </cell>
          <cell r="B143">
            <v>35815</v>
          </cell>
          <cell r="C143" t="str">
            <v>夜食代</v>
          </cell>
          <cell r="D143" t="str">
            <v>LAWSON</v>
          </cell>
          <cell r="E143">
            <v>503</v>
          </cell>
          <cell r="F143" t="str">
            <v>福利厚生費</v>
          </cell>
          <cell r="G143">
            <v>100</v>
          </cell>
          <cell r="H143" t="str">
            <v>現金</v>
          </cell>
          <cell r="J143">
            <v>260</v>
          </cell>
          <cell r="K143">
            <v>-1133051</v>
          </cell>
        </row>
        <row r="144">
          <cell r="A144">
            <v>139</v>
          </cell>
          <cell r="B144">
            <v>35815</v>
          </cell>
          <cell r="C144" t="str">
            <v>コンピュータ関連雑誌</v>
          </cell>
          <cell r="D144" t="str">
            <v>セイフー</v>
          </cell>
          <cell r="E144">
            <v>516</v>
          </cell>
          <cell r="F144" t="str">
            <v>図書研究費</v>
          </cell>
          <cell r="G144">
            <v>100</v>
          </cell>
          <cell r="H144" t="str">
            <v>現金</v>
          </cell>
          <cell r="J144">
            <v>260</v>
          </cell>
          <cell r="K144">
            <v>-1133311</v>
          </cell>
        </row>
        <row r="145">
          <cell r="A145">
            <v>140</v>
          </cell>
          <cell r="B145">
            <v>35815</v>
          </cell>
          <cell r="C145" t="str">
            <v>夜食代</v>
          </cell>
          <cell r="D145" t="str">
            <v>セイフー</v>
          </cell>
          <cell r="E145">
            <v>503</v>
          </cell>
          <cell r="F145" t="str">
            <v>福利厚生費</v>
          </cell>
          <cell r="G145">
            <v>100</v>
          </cell>
          <cell r="H145" t="str">
            <v>現金</v>
          </cell>
          <cell r="J145">
            <v>2131</v>
          </cell>
          <cell r="K145">
            <v>-1135442</v>
          </cell>
        </row>
        <row r="146">
          <cell r="A146">
            <v>141</v>
          </cell>
          <cell r="B146">
            <v>35815</v>
          </cell>
          <cell r="C146" t="str">
            <v>亀コン永田取締役・竹下課長</v>
          </cell>
          <cell r="D146" t="str">
            <v>ＴＯＮＹ　ＲＯＭＡ’Ｓ</v>
          </cell>
          <cell r="E146">
            <v>521</v>
          </cell>
          <cell r="F146" t="str">
            <v>接待交際費</v>
          </cell>
          <cell r="G146">
            <v>100</v>
          </cell>
          <cell r="H146" t="str">
            <v>現金</v>
          </cell>
          <cell r="J146">
            <v>13513</v>
          </cell>
          <cell r="K146">
            <v>-1148955</v>
          </cell>
        </row>
        <row r="147">
          <cell r="A147">
            <v>142</v>
          </cell>
          <cell r="B147">
            <v>35816</v>
          </cell>
          <cell r="C147" t="str">
            <v>茶菓子代</v>
          </cell>
          <cell r="D147" t="str">
            <v>丸正</v>
          </cell>
          <cell r="E147">
            <v>503</v>
          </cell>
          <cell r="F147" t="str">
            <v>福利厚生費</v>
          </cell>
          <cell r="G147">
            <v>100</v>
          </cell>
          <cell r="H147" t="str">
            <v>現金</v>
          </cell>
          <cell r="J147">
            <v>1899</v>
          </cell>
          <cell r="K147">
            <v>-1150854</v>
          </cell>
        </row>
        <row r="148">
          <cell r="A148">
            <v>143</v>
          </cell>
          <cell r="B148">
            <v>35817</v>
          </cell>
          <cell r="C148" t="str">
            <v>ゴム印</v>
          </cell>
          <cell r="D148" t="str">
            <v>はんこスーパー市ヶ谷</v>
          </cell>
          <cell r="E148">
            <v>524</v>
          </cell>
          <cell r="F148" t="str">
            <v>事務消耗品費</v>
          </cell>
          <cell r="G148">
            <v>100</v>
          </cell>
          <cell r="H148" t="str">
            <v>現金</v>
          </cell>
          <cell r="J148">
            <v>4247</v>
          </cell>
          <cell r="K148">
            <v>-1155101</v>
          </cell>
        </row>
        <row r="149">
          <cell r="A149">
            <v>144</v>
          </cell>
          <cell r="B149">
            <v>35817</v>
          </cell>
          <cell r="C149" t="str">
            <v>亀コン松原社長</v>
          </cell>
          <cell r="D149" t="str">
            <v>ベローチェ</v>
          </cell>
          <cell r="E149">
            <v>535</v>
          </cell>
          <cell r="F149" t="str">
            <v>会議費</v>
          </cell>
          <cell r="G149">
            <v>100</v>
          </cell>
          <cell r="H149" t="str">
            <v>現金</v>
          </cell>
          <cell r="J149">
            <v>346</v>
          </cell>
          <cell r="K149">
            <v>-1155447</v>
          </cell>
        </row>
        <row r="150">
          <cell r="A150">
            <v>145</v>
          </cell>
          <cell r="B150">
            <v>35817</v>
          </cell>
          <cell r="C150" t="str">
            <v>コピー</v>
          </cell>
          <cell r="D150" t="str">
            <v>Ｋｉｎｋｏ’ｓ</v>
          </cell>
          <cell r="E150">
            <v>524</v>
          </cell>
          <cell r="F150" t="str">
            <v>事務消耗品費</v>
          </cell>
          <cell r="G150">
            <v>100</v>
          </cell>
          <cell r="H150" t="str">
            <v>現金</v>
          </cell>
          <cell r="J150">
            <v>210</v>
          </cell>
          <cell r="K150">
            <v>-1155657</v>
          </cell>
        </row>
        <row r="151">
          <cell r="A151">
            <v>146</v>
          </cell>
          <cell r="B151">
            <v>35817</v>
          </cell>
          <cell r="C151" t="str">
            <v>領収書・ボールペン</v>
          </cell>
          <cell r="D151" t="str">
            <v>ロッキー</v>
          </cell>
          <cell r="E151">
            <v>524</v>
          </cell>
          <cell r="F151" t="str">
            <v>事務消耗品費</v>
          </cell>
          <cell r="G151">
            <v>100</v>
          </cell>
          <cell r="H151" t="str">
            <v>現金</v>
          </cell>
          <cell r="J151">
            <v>614</v>
          </cell>
          <cell r="K151">
            <v>-1156271</v>
          </cell>
        </row>
        <row r="152">
          <cell r="A152">
            <v>147</v>
          </cell>
          <cell r="B152">
            <v>35818</v>
          </cell>
          <cell r="C152" t="str">
            <v>統計資料打ち上げ</v>
          </cell>
          <cell r="D152" t="str">
            <v>丸正</v>
          </cell>
          <cell r="E152">
            <v>503</v>
          </cell>
          <cell r="F152" t="str">
            <v>福利厚生費</v>
          </cell>
          <cell r="G152">
            <v>100</v>
          </cell>
          <cell r="H152" t="str">
            <v>現金</v>
          </cell>
          <cell r="J152">
            <v>3164</v>
          </cell>
          <cell r="K152">
            <v>-1159435</v>
          </cell>
        </row>
        <row r="153">
          <cell r="B153">
            <v>35818</v>
          </cell>
          <cell r="C153" t="str">
            <v>Tカード</v>
          </cell>
          <cell r="D153" t="str">
            <v>東京都交通局</v>
          </cell>
          <cell r="E153">
            <v>522</v>
          </cell>
          <cell r="F153" t="str">
            <v>旅費交通費</v>
          </cell>
          <cell r="G153">
            <v>100</v>
          </cell>
          <cell r="H153" t="str">
            <v>現金</v>
          </cell>
          <cell r="J153">
            <v>1000</v>
          </cell>
          <cell r="K153">
            <v>-1160435</v>
          </cell>
        </row>
        <row r="154">
          <cell r="A154">
            <v>148</v>
          </cell>
          <cell r="B154">
            <v>35818</v>
          </cell>
          <cell r="C154" t="str">
            <v>電気コード</v>
          </cell>
          <cell r="D154" t="str">
            <v>ロッキー</v>
          </cell>
          <cell r="E154">
            <v>525</v>
          </cell>
          <cell r="F154" t="str">
            <v>消耗品費</v>
          </cell>
          <cell r="G154">
            <v>100</v>
          </cell>
          <cell r="H154" t="str">
            <v>現金</v>
          </cell>
          <cell r="J154">
            <v>294</v>
          </cell>
          <cell r="K154">
            <v>-1160729</v>
          </cell>
        </row>
        <row r="155">
          <cell r="A155">
            <v>149</v>
          </cell>
          <cell r="B155">
            <v>35818</v>
          </cell>
          <cell r="C155" t="str">
            <v>封筒</v>
          </cell>
          <cell r="D155" t="str">
            <v>ハマダ</v>
          </cell>
          <cell r="E155">
            <v>524</v>
          </cell>
          <cell r="F155" t="str">
            <v>事務消耗品費</v>
          </cell>
          <cell r="G155">
            <v>100</v>
          </cell>
          <cell r="H155" t="str">
            <v>現金</v>
          </cell>
          <cell r="J155">
            <v>200</v>
          </cell>
          <cell r="K155">
            <v>-1160929</v>
          </cell>
        </row>
        <row r="156">
          <cell r="A156">
            <v>150</v>
          </cell>
          <cell r="B156">
            <v>35818</v>
          </cell>
          <cell r="C156" t="str">
            <v>ガス</v>
          </cell>
          <cell r="D156" t="str">
            <v>東京ガス</v>
          </cell>
          <cell r="E156">
            <v>530</v>
          </cell>
          <cell r="F156" t="str">
            <v>水道光熱費</v>
          </cell>
          <cell r="G156">
            <v>114</v>
          </cell>
          <cell r="H156" t="str">
            <v>普通預金</v>
          </cell>
          <cell r="J156">
            <v>5244</v>
          </cell>
          <cell r="K156">
            <v>-1166173</v>
          </cell>
        </row>
        <row r="157">
          <cell r="A157">
            <v>151</v>
          </cell>
          <cell r="B157">
            <v>35819</v>
          </cell>
          <cell r="C157" t="str">
            <v>統計資料打ち上げ</v>
          </cell>
          <cell r="D157" t="str">
            <v>QUEEN'S CHEF</v>
          </cell>
          <cell r="E157">
            <v>503</v>
          </cell>
          <cell r="F157" t="str">
            <v>福利厚生費</v>
          </cell>
          <cell r="G157">
            <v>100</v>
          </cell>
          <cell r="H157" t="str">
            <v>現金</v>
          </cell>
          <cell r="J157">
            <v>2404</v>
          </cell>
          <cell r="K157">
            <v>-1168577</v>
          </cell>
        </row>
        <row r="158">
          <cell r="A158">
            <v>152</v>
          </cell>
          <cell r="B158">
            <v>35819</v>
          </cell>
          <cell r="C158" t="str">
            <v>コンピュータ関係</v>
          </cell>
          <cell r="D158" t="str">
            <v>ファミリーマート</v>
          </cell>
          <cell r="E158">
            <v>516</v>
          </cell>
          <cell r="F158" t="str">
            <v>図書研究費</v>
          </cell>
          <cell r="G158">
            <v>100</v>
          </cell>
          <cell r="H158" t="str">
            <v>現金</v>
          </cell>
          <cell r="J158">
            <v>1182</v>
          </cell>
          <cell r="K158">
            <v>-1169759</v>
          </cell>
        </row>
        <row r="159">
          <cell r="A159">
            <v>153</v>
          </cell>
          <cell r="B159">
            <v>35819</v>
          </cell>
          <cell r="C159" t="str">
            <v>歯ブラシ</v>
          </cell>
          <cell r="D159" t="str">
            <v>龍王堂薬局</v>
          </cell>
          <cell r="E159">
            <v>525</v>
          </cell>
          <cell r="F159" t="str">
            <v>消耗品費</v>
          </cell>
          <cell r="G159">
            <v>100</v>
          </cell>
          <cell r="H159" t="str">
            <v>現金</v>
          </cell>
          <cell r="J159">
            <v>420</v>
          </cell>
          <cell r="K159">
            <v>-1170179</v>
          </cell>
        </row>
        <row r="160">
          <cell r="A160">
            <v>154</v>
          </cell>
          <cell r="B160">
            <v>35819</v>
          </cell>
          <cell r="C160" t="str">
            <v>夜食代</v>
          </cell>
          <cell r="D160" t="str">
            <v>セイフー</v>
          </cell>
          <cell r="E160">
            <v>503</v>
          </cell>
          <cell r="F160" t="str">
            <v>福利厚生費</v>
          </cell>
          <cell r="G160">
            <v>100</v>
          </cell>
          <cell r="H160" t="str">
            <v>現金</v>
          </cell>
          <cell r="J160">
            <v>2405</v>
          </cell>
          <cell r="K160">
            <v>-1172584</v>
          </cell>
        </row>
        <row r="161">
          <cell r="A161">
            <v>155</v>
          </cell>
          <cell r="B161">
            <v>35819</v>
          </cell>
          <cell r="C161" t="str">
            <v>シャーペンの芯</v>
          </cell>
          <cell r="D161" t="str">
            <v>紀伊国屋</v>
          </cell>
          <cell r="E161">
            <v>524</v>
          </cell>
          <cell r="F161" t="str">
            <v>事務消耗品費</v>
          </cell>
          <cell r="G161">
            <v>100</v>
          </cell>
          <cell r="H161" t="str">
            <v>現金</v>
          </cell>
          <cell r="J161">
            <v>294</v>
          </cell>
          <cell r="K161">
            <v>-1172878</v>
          </cell>
        </row>
        <row r="162">
          <cell r="A162">
            <v>156</v>
          </cell>
          <cell r="B162">
            <v>35819</v>
          </cell>
          <cell r="C162" t="str">
            <v>皿</v>
          </cell>
          <cell r="D162" t="str">
            <v>セイフー</v>
          </cell>
          <cell r="E162">
            <v>525</v>
          </cell>
          <cell r="F162" t="str">
            <v>消耗品費</v>
          </cell>
          <cell r="G162">
            <v>100</v>
          </cell>
          <cell r="H162" t="str">
            <v>現金</v>
          </cell>
          <cell r="J162">
            <v>420</v>
          </cell>
          <cell r="K162">
            <v>-1173298</v>
          </cell>
        </row>
        <row r="163">
          <cell r="A163">
            <v>157</v>
          </cell>
          <cell r="B163">
            <v>35820</v>
          </cell>
          <cell r="C163" t="str">
            <v>ASAHI パソコン</v>
          </cell>
          <cell r="D163" t="str">
            <v>あおい書店</v>
          </cell>
          <cell r="E163">
            <v>516</v>
          </cell>
          <cell r="F163" t="str">
            <v>図書研究費</v>
          </cell>
          <cell r="G163">
            <v>100</v>
          </cell>
          <cell r="H163" t="str">
            <v>現金</v>
          </cell>
          <cell r="J163">
            <v>390</v>
          </cell>
          <cell r="K163">
            <v>-1173688</v>
          </cell>
        </row>
        <row r="164">
          <cell r="A164">
            <v>158</v>
          </cell>
          <cell r="B164">
            <v>35820</v>
          </cell>
          <cell r="C164" t="str">
            <v>亀コン永田取締役</v>
          </cell>
          <cell r="D164" t="str">
            <v>コーヒータイム</v>
          </cell>
          <cell r="E164">
            <v>535</v>
          </cell>
          <cell r="F164" t="str">
            <v>会議費</v>
          </cell>
          <cell r="G164">
            <v>100</v>
          </cell>
          <cell r="H164" t="str">
            <v>現金</v>
          </cell>
          <cell r="J164">
            <v>1680</v>
          </cell>
          <cell r="K164">
            <v>-1175368</v>
          </cell>
        </row>
        <row r="165">
          <cell r="A165">
            <v>159</v>
          </cell>
          <cell r="B165">
            <v>35821</v>
          </cell>
          <cell r="C165" t="str">
            <v>タクシー</v>
          </cell>
          <cell r="D165" t="str">
            <v>ＣＩＴＹ　ＴＡＸＩ　ＧＲＯＵＰ</v>
          </cell>
          <cell r="E165">
            <v>522</v>
          </cell>
          <cell r="F165" t="str">
            <v>旅費交通費</v>
          </cell>
          <cell r="G165">
            <v>100</v>
          </cell>
          <cell r="H165" t="str">
            <v>現金</v>
          </cell>
          <cell r="J165">
            <v>1010</v>
          </cell>
          <cell r="K165">
            <v>-1176378</v>
          </cell>
        </row>
        <row r="166">
          <cell r="A166">
            <v>160</v>
          </cell>
          <cell r="B166">
            <v>35821</v>
          </cell>
          <cell r="C166" t="str">
            <v>新幹線チケット（浜松）</v>
          </cell>
          <cell r="D166" t="str">
            <v>チケットキング</v>
          </cell>
          <cell r="E166">
            <v>522</v>
          </cell>
          <cell r="F166" t="str">
            <v>旅費交通費</v>
          </cell>
          <cell r="G166">
            <v>100</v>
          </cell>
          <cell r="H166" t="str">
            <v>現金</v>
          </cell>
          <cell r="J166">
            <v>14100</v>
          </cell>
          <cell r="K166">
            <v>-1190478</v>
          </cell>
        </row>
        <row r="167">
          <cell r="A167">
            <v>161</v>
          </cell>
          <cell r="B167">
            <v>35821</v>
          </cell>
          <cell r="C167" t="str">
            <v>経営・経理関係</v>
          </cell>
          <cell r="D167" t="str">
            <v>谷島屋コスタ店</v>
          </cell>
          <cell r="E167">
            <v>516</v>
          </cell>
          <cell r="F167" t="str">
            <v>図書研究費</v>
          </cell>
          <cell r="G167">
            <v>100</v>
          </cell>
          <cell r="H167" t="str">
            <v>現金</v>
          </cell>
          <cell r="J167">
            <v>4259</v>
          </cell>
          <cell r="K167">
            <v>-1194737</v>
          </cell>
        </row>
        <row r="168">
          <cell r="A168">
            <v>162</v>
          </cell>
          <cell r="B168">
            <v>35821</v>
          </cell>
          <cell r="C168" t="str">
            <v>薬用クリーム</v>
          </cell>
          <cell r="D168" t="str">
            <v>キヨスク</v>
          </cell>
          <cell r="E168">
            <v>525</v>
          </cell>
          <cell r="F168" t="str">
            <v>消耗品費</v>
          </cell>
          <cell r="G168">
            <v>100</v>
          </cell>
          <cell r="H168" t="str">
            <v>現金</v>
          </cell>
          <cell r="J168">
            <v>504</v>
          </cell>
          <cell r="K168">
            <v>-1195241</v>
          </cell>
        </row>
        <row r="169">
          <cell r="A169">
            <v>163</v>
          </cell>
          <cell r="B169">
            <v>35821</v>
          </cell>
          <cell r="C169" t="str">
            <v>夜食代</v>
          </cell>
          <cell r="D169" t="str">
            <v>セイフー</v>
          </cell>
          <cell r="E169">
            <v>503</v>
          </cell>
          <cell r="F169" t="str">
            <v>福利厚生費</v>
          </cell>
          <cell r="G169">
            <v>100</v>
          </cell>
          <cell r="H169" t="str">
            <v>現金</v>
          </cell>
          <cell r="J169">
            <v>294</v>
          </cell>
          <cell r="K169">
            <v>-1195535</v>
          </cell>
        </row>
        <row r="170">
          <cell r="B170">
            <v>35822</v>
          </cell>
          <cell r="C170" t="str">
            <v>電話</v>
          </cell>
          <cell r="D170" t="str">
            <v>ＤＤＩポケット</v>
          </cell>
          <cell r="E170">
            <v>523</v>
          </cell>
          <cell r="F170" t="str">
            <v>通信費</v>
          </cell>
          <cell r="G170">
            <v>114</v>
          </cell>
          <cell r="H170" t="str">
            <v>普通預金</v>
          </cell>
          <cell r="J170">
            <v>4641</v>
          </cell>
          <cell r="K170">
            <v>-1200176</v>
          </cell>
        </row>
        <row r="171">
          <cell r="A171">
            <v>164</v>
          </cell>
          <cell r="B171">
            <v>35822</v>
          </cell>
          <cell r="C171" t="str">
            <v>タクシー</v>
          </cell>
          <cell r="D171" t="str">
            <v>東京ﾀｸｼｰ近代化ｾﾝﾀｰ</v>
          </cell>
          <cell r="E171">
            <v>522</v>
          </cell>
          <cell r="F171" t="str">
            <v>旅費交通費</v>
          </cell>
          <cell r="G171">
            <v>100</v>
          </cell>
          <cell r="H171" t="str">
            <v>現金</v>
          </cell>
          <cell r="J171">
            <v>740</v>
          </cell>
          <cell r="K171">
            <v>-1200916</v>
          </cell>
        </row>
        <row r="172">
          <cell r="A172">
            <v>165</v>
          </cell>
          <cell r="B172">
            <v>35822</v>
          </cell>
          <cell r="C172" t="str">
            <v>タクシー</v>
          </cell>
          <cell r="D172" t="str">
            <v>安藤ﾀｸｼｰ</v>
          </cell>
          <cell r="E172">
            <v>522</v>
          </cell>
          <cell r="F172" t="str">
            <v>旅費交通費</v>
          </cell>
          <cell r="G172">
            <v>100</v>
          </cell>
          <cell r="H172" t="str">
            <v>現金</v>
          </cell>
          <cell r="J172">
            <v>810</v>
          </cell>
          <cell r="K172">
            <v>-1201726</v>
          </cell>
        </row>
        <row r="173">
          <cell r="A173">
            <v>166</v>
          </cell>
          <cell r="B173">
            <v>35823</v>
          </cell>
          <cell r="C173" t="str">
            <v>亀コン竹下課長</v>
          </cell>
          <cell r="D173" t="str">
            <v>モスバーガー</v>
          </cell>
          <cell r="E173">
            <v>535</v>
          </cell>
          <cell r="F173" t="str">
            <v>会議費</v>
          </cell>
          <cell r="G173">
            <v>100</v>
          </cell>
          <cell r="H173" t="str">
            <v>現金</v>
          </cell>
          <cell r="J173">
            <v>955</v>
          </cell>
          <cell r="K173">
            <v>-1202681</v>
          </cell>
        </row>
        <row r="174">
          <cell r="A174">
            <v>167</v>
          </cell>
          <cell r="B174">
            <v>35823</v>
          </cell>
          <cell r="C174" t="str">
            <v>タクシー</v>
          </cell>
          <cell r="D174" t="str">
            <v>東京ﾀｸｼｰ近代化ｾﾝﾀｰ</v>
          </cell>
          <cell r="E174">
            <v>522</v>
          </cell>
          <cell r="F174" t="str">
            <v>旅費交通費</v>
          </cell>
          <cell r="G174">
            <v>100</v>
          </cell>
          <cell r="H174" t="str">
            <v>現金</v>
          </cell>
          <cell r="J174">
            <v>740</v>
          </cell>
          <cell r="K174">
            <v>-1203421</v>
          </cell>
        </row>
        <row r="175">
          <cell r="A175">
            <v>168</v>
          </cell>
          <cell r="B175">
            <v>35823</v>
          </cell>
          <cell r="C175" t="str">
            <v>夜食代</v>
          </cell>
          <cell r="D175" t="str">
            <v>ファミリーマート</v>
          </cell>
          <cell r="E175">
            <v>503</v>
          </cell>
          <cell r="F175" t="str">
            <v>福利厚生費</v>
          </cell>
          <cell r="G175">
            <v>100</v>
          </cell>
          <cell r="H175" t="str">
            <v>現金</v>
          </cell>
          <cell r="J175">
            <v>386</v>
          </cell>
          <cell r="K175">
            <v>-1203807</v>
          </cell>
        </row>
        <row r="176">
          <cell r="A176">
            <v>169</v>
          </cell>
          <cell r="B176">
            <v>35823</v>
          </cell>
          <cell r="C176" t="str">
            <v>夜食代</v>
          </cell>
          <cell r="D176" t="str">
            <v>セイフー</v>
          </cell>
          <cell r="E176">
            <v>503</v>
          </cell>
          <cell r="F176" t="str">
            <v>福利厚生費</v>
          </cell>
          <cell r="G176">
            <v>100</v>
          </cell>
          <cell r="H176" t="str">
            <v>現金</v>
          </cell>
          <cell r="J176">
            <v>273</v>
          </cell>
          <cell r="K176">
            <v>-1204080</v>
          </cell>
        </row>
        <row r="177">
          <cell r="A177">
            <v>170</v>
          </cell>
          <cell r="B177">
            <v>35823</v>
          </cell>
          <cell r="C177" t="str">
            <v>お茶</v>
          </cell>
          <cell r="D177" t="str">
            <v>丸正</v>
          </cell>
          <cell r="E177">
            <v>503</v>
          </cell>
          <cell r="F177" t="str">
            <v>福利厚生費</v>
          </cell>
          <cell r="G177">
            <v>100</v>
          </cell>
          <cell r="H177" t="str">
            <v>現金</v>
          </cell>
          <cell r="J177">
            <v>1093</v>
          </cell>
          <cell r="K177">
            <v>-1205173</v>
          </cell>
        </row>
        <row r="178">
          <cell r="A178">
            <v>171</v>
          </cell>
          <cell r="B178">
            <v>35824</v>
          </cell>
          <cell r="C178" t="str">
            <v>コピー</v>
          </cell>
          <cell r="D178" t="str">
            <v>Ｋｉｎｋｏ’ｓ</v>
          </cell>
          <cell r="E178">
            <v>524</v>
          </cell>
          <cell r="F178" t="str">
            <v>事務消耗品費</v>
          </cell>
          <cell r="G178">
            <v>100</v>
          </cell>
          <cell r="H178" t="str">
            <v>現金</v>
          </cell>
          <cell r="J178">
            <v>21</v>
          </cell>
          <cell r="K178">
            <v>-1205194</v>
          </cell>
        </row>
        <row r="179">
          <cell r="A179">
            <v>172</v>
          </cell>
          <cell r="B179">
            <v>35824</v>
          </cell>
          <cell r="C179" t="str">
            <v>スクラップブック</v>
          </cell>
          <cell r="D179" t="str">
            <v>和楽</v>
          </cell>
          <cell r="E179">
            <v>524</v>
          </cell>
          <cell r="F179" t="str">
            <v>事務消耗品費</v>
          </cell>
          <cell r="G179">
            <v>100</v>
          </cell>
          <cell r="H179" t="str">
            <v>現金</v>
          </cell>
          <cell r="J179">
            <v>360</v>
          </cell>
          <cell r="K179">
            <v>-1205554</v>
          </cell>
        </row>
        <row r="180">
          <cell r="A180">
            <v>173</v>
          </cell>
          <cell r="B180">
            <v>35824</v>
          </cell>
          <cell r="C180" t="str">
            <v>茶菓子代</v>
          </cell>
          <cell r="D180" t="str">
            <v>LAWSON</v>
          </cell>
          <cell r="E180">
            <v>503</v>
          </cell>
          <cell r="F180" t="str">
            <v>福利厚生費</v>
          </cell>
          <cell r="G180">
            <v>100</v>
          </cell>
          <cell r="H180" t="str">
            <v>現金</v>
          </cell>
          <cell r="J180">
            <v>260</v>
          </cell>
          <cell r="K180">
            <v>-1205814</v>
          </cell>
        </row>
        <row r="181">
          <cell r="A181">
            <v>174</v>
          </cell>
          <cell r="B181">
            <v>35825</v>
          </cell>
          <cell r="C181" t="str">
            <v>タクシー</v>
          </cell>
          <cell r="D181" t="str">
            <v>東京ﾀｸｼｰ近代化ｾﾝﾀｰ</v>
          </cell>
          <cell r="E181">
            <v>522</v>
          </cell>
          <cell r="F181" t="str">
            <v>旅費交通費</v>
          </cell>
          <cell r="G181">
            <v>100</v>
          </cell>
          <cell r="H181" t="str">
            <v>現金</v>
          </cell>
          <cell r="J181">
            <v>740</v>
          </cell>
          <cell r="K181">
            <v>-1206554</v>
          </cell>
        </row>
        <row r="182">
          <cell r="A182">
            <v>175</v>
          </cell>
          <cell r="B182">
            <v>35825</v>
          </cell>
          <cell r="C182" t="str">
            <v>Tカード</v>
          </cell>
          <cell r="D182" t="str">
            <v>東京都交通局</v>
          </cell>
          <cell r="E182">
            <v>522</v>
          </cell>
          <cell r="F182" t="str">
            <v>旅費交通費</v>
          </cell>
          <cell r="G182">
            <v>100</v>
          </cell>
          <cell r="H182" t="str">
            <v>現金</v>
          </cell>
          <cell r="J182">
            <v>5000</v>
          </cell>
          <cell r="K182">
            <v>-1211554</v>
          </cell>
        </row>
        <row r="183">
          <cell r="A183">
            <v>176</v>
          </cell>
          <cell r="B183">
            <v>35825</v>
          </cell>
          <cell r="C183" t="str">
            <v>ジュース</v>
          </cell>
          <cell r="D183" t="str">
            <v>LAWSON</v>
          </cell>
          <cell r="E183">
            <v>503</v>
          </cell>
          <cell r="F183" t="str">
            <v>福利厚生費</v>
          </cell>
          <cell r="G183">
            <v>100</v>
          </cell>
          <cell r="H183" t="str">
            <v>現金</v>
          </cell>
          <cell r="J183">
            <v>488</v>
          </cell>
          <cell r="K183">
            <v>-1212042</v>
          </cell>
        </row>
        <row r="184">
          <cell r="A184">
            <v>177</v>
          </cell>
          <cell r="B184">
            <v>35825</v>
          </cell>
          <cell r="C184" t="str">
            <v>夜食代</v>
          </cell>
          <cell r="D184" t="str">
            <v>ファミリーマート</v>
          </cell>
          <cell r="E184">
            <v>503</v>
          </cell>
          <cell r="F184" t="str">
            <v>福利厚生費</v>
          </cell>
          <cell r="G184">
            <v>100</v>
          </cell>
          <cell r="H184" t="str">
            <v>現金</v>
          </cell>
          <cell r="J184">
            <v>493</v>
          </cell>
          <cell r="K184">
            <v>-1212535</v>
          </cell>
        </row>
        <row r="185">
          <cell r="A185">
            <v>178</v>
          </cell>
          <cell r="B185">
            <v>35825</v>
          </cell>
          <cell r="C185" t="str">
            <v>お弁当代</v>
          </cell>
          <cell r="D185" t="str">
            <v>オリジン弁当</v>
          </cell>
          <cell r="E185">
            <v>503</v>
          </cell>
          <cell r="F185" t="str">
            <v>福利厚生費</v>
          </cell>
          <cell r="G185">
            <v>100</v>
          </cell>
          <cell r="H185" t="str">
            <v>現金</v>
          </cell>
          <cell r="J185">
            <v>1245</v>
          </cell>
          <cell r="K185">
            <v>-1213780</v>
          </cell>
        </row>
        <row r="186">
          <cell r="A186">
            <v>179</v>
          </cell>
          <cell r="B186">
            <v>35826</v>
          </cell>
          <cell r="C186" t="str">
            <v>エステック　佐藤氏</v>
          </cell>
          <cell r="D186" t="str">
            <v>ＪＡＬ　ＣＩＴＹ</v>
          </cell>
          <cell r="E186">
            <v>535</v>
          </cell>
          <cell r="F186" t="str">
            <v>会議費</v>
          </cell>
          <cell r="G186">
            <v>100</v>
          </cell>
          <cell r="H186" t="str">
            <v>現金</v>
          </cell>
          <cell r="J186">
            <v>3696</v>
          </cell>
          <cell r="K186">
            <v>-1217476</v>
          </cell>
        </row>
        <row r="187">
          <cell r="A187">
            <v>180</v>
          </cell>
          <cell r="B187">
            <v>35826</v>
          </cell>
          <cell r="C187" t="str">
            <v>科目印</v>
          </cell>
          <cell r="D187" t="str">
            <v>中川会計事務所</v>
          </cell>
          <cell r="E187">
            <v>524</v>
          </cell>
          <cell r="F187" t="str">
            <v>事務消耗品費</v>
          </cell>
          <cell r="G187">
            <v>100</v>
          </cell>
          <cell r="H187" t="str">
            <v>現金</v>
          </cell>
          <cell r="J187">
            <v>7000</v>
          </cell>
          <cell r="K187">
            <v>-1224476</v>
          </cell>
        </row>
        <row r="188">
          <cell r="A188">
            <v>181</v>
          </cell>
          <cell r="B188">
            <v>35826</v>
          </cell>
          <cell r="C188" t="str">
            <v>会計顧問報酬</v>
          </cell>
          <cell r="D188" t="str">
            <v>中川会計事務所</v>
          </cell>
          <cell r="E188">
            <v>537</v>
          </cell>
          <cell r="F188" t="str">
            <v>顧問報酬</v>
          </cell>
          <cell r="G188">
            <v>100</v>
          </cell>
          <cell r="H188" t="str">
            <v>現金</v>
          </cell>
          <cell r="J188">
            <v>14250</v>
          </cell>
          <cell r="K188">
            <v>-1238726</v>
          </cell>
        </row>
        <row r="189">
          <cell r="A189">
            <v>182</v>
          </cell>
          <cell r="B189">
            <v>35826</v>
          </cell>
          <cell r="C189" t="str">
            <v>源泉所得税</v>
          </cell>
          <cell r="D189" t="str">
            <v>中川会計事務所</v>
          </cell>
          <cell r="E189">
            <v>537</v>
          </cell>
          <cell r="F189" t="str">
            <v>顧問報酬</v>
          </cell>
          <cell r="G189">
            <v>208</v>
          </cell>
          <cell r="H189" t="str">
            <v>預り金</v>
          </cell>
          <cell r="J189">
            <v>1500</v>
          </cell>
          <cell r="K189">
            <v>-1240226</v>
          </cell>
        </row>
        <row r="190">
          <cell r="A190">
            <v>183</v>
          </cell>
          <cell r="B190">
            <v>35827</v>
          </cell>
          <cell r="C190" t="str">
            <v>ビ・アーム山際社長</v>
          </cell>
          <cell r="D190" t="str">
            <v>フレッシュネスバーガー</v>
          </cell>
          <cell r="E190">
            <v>535</v>
          </cell>
          <cell r="F190" t="str">
            <v>会議費</v>
          </cell>
          <cell r="G190">
            <v>100</v>
          </cell>
          <cell r="H190" t="str">
            <v>現金</v>
          </cell>
          <cell r="J190">
            <v>399</v>
          </cell>
          <cell r="K190">
            <v>-1240625</v>
          </cell>
        </row>
        <row r="191">
          <cell r="A191">
            <v>184</v>
          </cell>
          <cell r="B191">
            <v>35827</v>
          </cell>
          <cell r="C191" t="str">
            <v>お茶代</v>
          </cell>
          <cell r="D191" t="str">
            <v>am pm</v>
          </cell>
          <cell r="E191">
            <v>503</v>
          </cell>
          <cell r="F191" t="str">
            <v>福利厚生費</v>
          </cell>
          <cell r="G191">
            <v>100</v>
          </cell>
          <cell r="H191" t="str">
            <v>現金</v>
          </cell>
          <cell r="J191">
            <v>467</v>
          </cell>
          <cell r="K191">
            <v>-1241092</v>
          </cell>
        </row>
        <row r="192">
          <cell r="A192">
            <v>185</v>
          </cell>
          <cell r="B192">
            <v>35828</v>
          </cell>
          <cell r="C192" t="str">
            <v>夜食代</v>
          </cell>
          <cell r="D192" t="str">
            <v>セイフー</v>
          </cell>
          <cell r="E192">
            <v>503</v>
          </cell>
          <cell r="F192" t="str">
            <v>福利厚生費</v>
          </cell>
          <cell r="G192">
            <v>100</v>
          </cell>
          <cell r="H192" t="str">
            <v>現金</v>
          </cell>
          <cell r="J192">
            <v>1753</v>
          </cell>
          <cell r="K192">
            <v>-1242845</v>
          </cell>
        </row>
        <row r="193">
          <cell r="A193">
            <v>186</v>
          </cell>
          <cell r="B193">
            <v>35828</v>
          </cell>
          <cell r="C193" t="str">
            <v>出金伝票</v>
          </cell>
          <cell r="D193" t="str">
            <v>丸正</v>
          </cell>
          <cell r="E193">
            <v>524</v>
          </cell>
          <cell r="F193" t="str">
            <v>事務消耗品費</v>
          </cell>
          <cell r="G193">
            <v>100</v>
          </cell>
          <cell r="H193" t="str">
            <v>現金</v>
          </cell>
          <cell r="J193">
            <v>115</v>
          </cell>
          <cell r="K193">
            <v>-1242960</v>
          </cell>
        </row>
        <row r="194">
          <cell r="A194">
            <v>187</v>
          </cell>
          <cell r="B194">
            <v>35828</v>
          </cell>
          <cell r="C194" t="str">
            <v>亀コン竹下課長</v>
          </cell>
          <cell r="D194" t="str">
            <v>モスバーガー</v>
          </cell>
          <cell r="E194">
            <v>535</v>
          </cell>
          <cell r="F194" t="str">
            <v>会議費</v>
          </cell>
          <cell r="G194">
            <v>100</v>
          </cell>
          <cell r="H194" t="str">
            <v>現金</v>
          </cell>
          <cell r="J194">
            <v>567</v>
          </cell>
          <cell r="K194">
            <v>-1243527</v>
          </cell>
        </row>
        <row r="195">
          <cell r="A195">
            <v>188</v>
          </cell>
          <cell r="B195">
            <v>35828</v>
          </cell>
          <cell r="C195" t="str">
            <v>亀コン竹下課長</v>
          </cell>
          <cell r="D195" t="str">
            <v>ケンタッキー</v>
          </cell>
          <cell r="E195">
            <v>535</v>
          </cell>
          <cell r="F195" t="str">
            <v>会議費</v>
          </cell>
          <cell r="G195">
            <v>100</v>
          </cell>
          <cell r="H195" t="str">
            <v>現金</v>
          </cell>
          <cell r="J195">
            <v>1270</v>
          </cell>
          <cell r="K195">
            <v>-1244797</v>
          </cell>
        </row>
        <row r="196">
          <cell r="A196">
            <v>189</v>
          </cell>
          <cell r="B196">
            <v>35829</v>
          </cell>
          <cell r="C196" t="str">
            <v>茶菓子代</v>
          </cell>
          <cell r="D196" t="str">
            <v>サンクス</v>
          </cell>
          <cell r="E196">
            <v>503</v>
          </cell>
          <cell r="F196" t="str">
            <v>福利厚生費</v>
          </cell>
          <cell r="G196">
            <v>100</v>
          </cell>
          <cell r="H196" t="str">
            <v>現金</v>
          </cell>
          <cell r="J196">
            <v>819</v>
          </cell>
          <cell r="K196">
            <v>-1245616</v>
          </cell>
        </row>
        <row r="197">
          <cell r="A197">
            <v>190</v>
          </cell>
          <cell r="B197">
            <v>35829</v>
          </cell>
          <cell r="C197" t="str">
            <v>亀コン永田取締役</v>
          </cell>
          <cell r="D197" t="str">
            <v>デニーズ</v>
          </cell>
          <cell r="E197">
            <v>535</v>
          </cell>
          <cell r="F197" t="str">
            <v>会議費</v>
          </cell>
          <cell r="G197">
            <v>100</v>
          </cell>
          <cell r="H197" t="str">
            <v>現金</v>
          </cell>
          <cell r="J197">
            <v>3885</v>
          </cell>
          <cell r="K197">
            <v>-1249501</v>
          </cell>
        </row>
        <row r="198">
          <cell r="A198">
            <v>191</v>
          </cell>
          <cell r="B198">
            <v>35829</v>
          </cell>
          <cell r="C198" t="str">
            <v>HGP緒方氏・亀コン永田氏</v>
          </cell>
          <cell r="D198" t="str">
            <v>ダリア</v>
          </cell>
          <cell r="E198">
            <v>535</v>
          </cell>
          <cell r="F198" t="str">
            <v>会議費</v>
          </cell>
          <cell r="G198">
            <v>100</v>
          </cell>
          <cell r="H198" t="str">
            <v>現金</v>
          </cell>
          <cell r="J198">
            <v>1600</v>
          </cell>
          <cell r="K198">
            <v>-1251101</v>
          </cell>
        </row>
        <row r="199">
          <cell r="A199">
            <v>192</v>
          </cell>
          <cell r="B199">
            <v>35830</v>
          </cell>
          <cell r="C199" t="str">
            <v>亀コン竹下課長</v>
          </cell>
          <cell r="D199" t="str">
            <v>ミスタードーナッツ</v>
          </cell>
          <cell r="E199">
            <v>535</v>
          </cell>
          <cell r="F199" t="str">
            <v>会議費</v>
          </cell>
          <cell r="G199">
            <v>100</v>
          </cell>
          <cell r="H199" t="str">
            <v>現金</v>
          </cell>
          <cell r="J199">
            <v>777</v>
          </cell>
          <cell r="K199">
            <v>-1251878</v>
          </cell>
        </row>
        <row r="200">
          <cell r="A200">
            <v>193</v>
          </cell>
          <cell r="B200">
            <v>35830</v>
          </cell>
          <cell r="C200" t="str">
            <v>電話代</v>
          </cell>
          <cell r="D200" t="str">
            <v>ＮＴＴ新宿</v>
          </cell>
          <cell r="E200">
            <v>523</v>
          </cell>
          <cell r="F200" t="str">
            <v>通信費</v>
          </cell>
          <cell r="G200">
            <v>100</v>
          </cell>
          <cell r="H200" t="str">
            <v>現金</v>
          </cell>
          <cell r="J200">
            <v>2950</v>
          </cell>
          <cell r="K200">
            <v>-1254828</v>
          </cell>
        </row>
        <row r="201">
          <cell r="A201">
            <v>194</v>
          </cell>
          <cell r="B201">
            <v>35830</v>
          </cell>
          <cell r="C201" t="str">
            <v>金庫代</v>
          </cell>
          <cell r="D201" t="str">
            <v>仲芳屋</v>
          </cell>
          <cell r="E201">
            <v>525</v>
          </cell>
          <cell r="F201" t="str">
            <v>消耗品費</v>
          </cell>
          <cell r="G201">
            <v>100</v>
          </cell>
          <cell r="H201" t="str">
            <v>現金</v>
          </cell>
          <cell r="J201">
            <v>13650</v>
          </cell>
          <cell r="K201">
            <v>-1268478</v>
          </cell>
        </row>
        <row r="202">
          <cell r="A202">
            <v>195</v>
          </cell>
          <cell r="B202">
            <v>35831</v>
          </cell>
          <cell r="C202" t="str">
            <v>たばこ</v>
          </cell>
          <cell r="D202" t="str">
            <v>ローソン</v>
          </cell>
          <cell r="E202">
            <v>503</v>
          </cell>
          <cell r="F202" t="str">
            <v>福利厚生費</v>
          </cell>
          <cell r="G202">
            <v>100</v>
          </cell>
          <cell r="H202" t="str">
            <v>現金</v>
          </cell>
          <cell r="J202">
            <v>260</v>
          </cell>
          <cell r="K202">
            <v>-1268738</v>
          </cell>
        </row>
        <row r="203">
          <cell r="A203">
            <v>196</v>
          </cell>
          <cell r="B203">
            <v>35831</v>
          </cell>
          <cell r="C203" t="str">
            <v>コンピュータ関係</v>
          </cell>
          <cell r="D203" t="str">
            <v>ローソン</v>
          </cell>
          <cell r="E203">
            <v>516</v>
          </cell>
          <cell r="F203" t="str">
            <v>図書研究費</v>
          </cell>
          <cell r="G203">
            <v>100</v>
          </cell>
          <cell r="H203" t="str">
            <v>現金</v>
          </cell>
          <cell r="J203">
            <v>250</v>
          </cell>
          <cell r="K203">
            <v>-1268988</v>
          </cell>
        </row>
        <row r="204">
          <cell r="A204">
            <v>197</v>
          </cell>
          <cell r="B204">
            <v>35831</v>
          </cell>
          <cell r="C204" t="str">
            <v>カビ取り剤</v>
          </cell>
          <cell r="D204" t="str">
            <v>丸正</v>
          </cell>
          <cell r="E204">
            <v>525</v>
          </cell>
          <cell r="F204" t="str">
            <v>消耗品費</v>
          </cell>
          <cell r="G204">
            <v>100</v>
          </cell>
          <cell r="H204" t="str">
            <v>現金</v>
          </cell>
          <cell r="J204">
            <v>1995</v>
          </cell>
          <cell r="K204">
            <v>-1270983</v>
          </cell>
        </row>
        <row r="205">
          <cell r="A205">
            <v>198</v>
          </cell>
          <cell r="B205">
            <v>35831</v>
          </cell>
          <cell r="C205" t="str">
            <v>夜食代</v>
          </cell>
          <cell r="D205" t="str">
            <v>丸正</v>
          </cell>
          <cell r="E205">
            <v>503</v>
          </cell>
          <cell r="F205" t="str">
            <v>福利厚生費</v>
          </cell>
          <cell r="G205">
            <v>100</v>
          </cell>
          <cell r="H205" t="str">
            <v>現金</v>
          </cell>
          <cell r="J205">
            <v>4920</v>
          </cell>
          <cell r="K205">
            <v>-1275903</v>
          </cell>
        </row>
        <row r="206">
          <cell r="A206">
            <v>199</v>
          </cell>
          <cell r="B206">
            <v>35832</v>
          </cell>
          <cell r="C206" t="str">
            <v>電池代</v>
          </cell>
          <cell r="D206" t="str">
            <v>丸正</v>
          </cell>
          <cell r="E206">
            <v>525</v>
          </cell>
          <cell r="F206" t="str">
            <v>消耗品費</v>
          </cell>
          <cell r="G206">
            <v>100</v>
          </cell>
          <cell r="H206" t="str">
            <v>現金</v>
          </cell>
          <cell r="J206">
            <v>1412</v>
          </cell>
          <cell r="K206">
            <v>-1277315</v>
          </cell>
        </row>
        <row r="207">
          <cell r="A207">
            <v>200</v>
          </cell>
          <cell r="B207">
            <v>35832</v>
          </cell>
          <cell r="C207" t="str">
            <v>亀コン永田取締役</v>
          </cell>
          <cell r="D207" t="str">
            <v>フレッシュネスバーガー</v>
          </cell>
          <cell r="E207">
            <v>535</v>
          </cell>
          <cell r="F207" t="str">
            <v>会議費</v>
          </cell>
          <cell r="G207">
            <v>100</v>
          </cell>
          <cell r="H207" t="str">
            <v>現金</v>
          </cell>
          <cell r="J207">
            <v>1197</v>
          </cell>
          <cell r="K207">
            <v>-1278512</v>
          </cell>
        </row>
        <row r="208">
          <cell r="A208">
            <v>201</v>
          </cell>
          <cell r="B208">
            <v>35832</v>
          </cell>
          <cell r="C208" t="str">
            <v>収納ＢＯＸ</v>
          </cell>
          <cell r="D208" t="str">
            <v>Romantic Garden</v>
          </cell>
          <cell r="E208">
            <v>524</v>
          </cell>
          <cell r="F208" t="str">
            <v>事務消耗品費</v>
          </cell>
          <cell r="G208">
            <v>100</v>
          </cell>
          <cell r="H208" t="str">
            <v>現金</v>
          </cell>
          <cell r="J208">
            <v>2058</v>
          </cell>
          <cell r="K208">
            <v>-1280570</v>
          </cell>
        </row>
        <row r="209">
          <cell r="A209">
            <v>202</v>
          </cell>
          <cell r="B209">
            <v>35832</v>
          </cell>
          <cell r="C209" t="str">
            <v>伝票</v>
          </cell>
          <cell r="D209" t="str">
            <v>紀伊国屋</v>
          </cell>
          <cell r="E209">
            <v>524</v>
          </cell>
          <cell r="F209" t="str">
            <v>事務消耗品費</v>
          </cell>
          <cell r="G209">
            <v>100</v>
          </cell>
          <cell r="H209" t="str">
            <v>現金</v>
          </cell>
          <cell r="J209">
            <v>115</v>
          </cell>
          <cell r="K209">
            <v>-1280685</v>
          </cell>
        </row>
        <row r="210">
          <cell r="A210">
            <v>203</v>
          </cell>
          <cell r="B210">
            <v>35833</v>
          </cell>
          <cell r="C210" t="str">
            <v>お茶代</v>
          </cell>
          <cell r="D210" t="str">
            <v>am pm</v>
          </cell>
          <cell r="E210">
            <v>503</v>
          </cell>
          <cell r="F210" t="str">
            <v>福利厚生費</v>
          </cell>
          <cell r="G210">
            <v>100</v>
          </cell>
          <cell r="H210" t="str">
            <v>現金</v>
          </cell>
          <cell r="J210">
            <v>572</v>
          </cell>
          <cell r="K210">
            <v>-1281257</v>
          </cell>
        </row>
        <row r="211">
          <cell r="A211">
            <v>204</v>
          </cell>
          <cell r="B211">
            <v>35833</v>
          </cell>
          <cell r="C211" t="str">
            <v>ビデオデッキ</v>
          </cell>
          <cell r="D211" t="str">
            <v>さくらや</v>
          </cell>
          <cell r="E211">
            <v>525</v>
          </cell>
          <cell r="F211" t="str">
            <v>消耗品費</v>
          </cell>
          <cell r="G211">
            <v>100</v>
          </cell>
          <cell r="H211" t="str">
            <v>現金</v>
          </cell>
          <cell r="J211">
            <v>22890</v>
          </cell>
          <cell r="K211">
            <v>-1304147</v>
          </cell>
        </row>
        <row r="212">
          <cell r="A212">
            <v>205</v>
          </cell>
          <cell r="B212">
            <v>35835</v>
          </cell>
          <cell r="C212" t="str">
            <v>コピー</v>
          </cell>
          <cell r="D212" t="str">
            <v>Ｋｉｎｋｏ’ｓ</v>
          </cell>
          <cell r="E212">
            <v>524</v>
          </cell>
          <cell r="F212" t="str">
            <v>事務消耗品費</v>
          </cell>
          <cell r="G212">
            <v>100</v>
          </cell>
          <cell r="H212" t="str">
            <v>現金</v>
          </cell>
          <cell r="J212">
            <v>766</v>
          </cell>
          <cell r="K212">
            <v>-1304913</v>
          </cell>
        </row>
        <row r="213">
          <cell r="A213">
            <v>206</v>
          </cell>
          <cell r="B213">
            <v>35835</v>
          </cell>
          <cell r="C213" t="str">
            <v>茶菓子代</v>
          </cell>
          <cell r="D213" t="str">
            <v>丸正</v>
          </cell>
          <cell r="E213">
            <v>503</v>
          </cell>
          <cell r="F213" t="str">
            <v>福利厚生費</v>
          </cell>
          <cell r="G213">
            <v>100</v>
          </cell>
          <cell r="H213" t="str">
            <v>現金</v>
          </cell>
          <cell r="J213">
            <v>341</v>
          </cell>
          <cell r="K213">
            <v>-1305254</v>
          </cell>
        </row>
        <row r="214">
          <cell r="A214">
            <v>207</v>
          </cell>
          <cell r="B214">
            <v>35835</v>
          </cell>
          <cell r="C214" t="str">
            <v>ラインマーカー・付箋</v>
          </cell>
          <cell r="D214" t="str">
            <v>セブンイレブン</v>
          </cell>
          <cell r="E214">
            <v>524</v>
          </cell>
          <cell r="F214" t="str">
            <v>事務消耗品費</v>
          </cell>
          <cell r="G214">
            <v>100</v>
          </cell>
          <cell r="H214" t="str">
            <v>現金</v>
          </cell>
          <cell r="J214">
            <v>409</v>
          </cell>
          <cell r="K214">
            <v>-1305663</v>
          </cell>
        </row>
        <row r="215">
          <cell r="A215">
            <v>208</v>
          </cell>
          <cell r="B215">
            <v>35835</v>
          </cell>
          <cell r="C215" t="str">
            <v>亀コン永田取締役</v>
          </cell>
          <cell r="D215" t="str">
            <v>デニーズ</v>
          </cell>
          <cell r="E215">
            <v>535</v>
          </cell>
          <cell r="F215" t="str">
            <v>会議費</v>
          </cell>
          <cell r="G215">
            <v>100</v>
          </cell>
          <cell r="H215" t="str">
            <v>現金</v>
          </cell>
          <cell r="J215">
            <v>4978</v>
          </cell>
          <cell r="K215">
            <v>-1310641</v>
          </cell>
        </row>
        <row r="216">
          <cell r="A216">
            <v>209</v>
          </cell>
          <cell r="B216">
            <v>35836</v>
          </cell>
          <cell r="C216" t="str">
            <v>お茶代</v>
          </cell>
          <cell r="D216" t="str">
            <v>ローソン</v>
          </cell>
          <cell r="E216">
            <v>503</v>
          </cell>
          <cell r="F216" t="str">
            <v>福利厚生費</v>
          </cell>
          <cell r="G216">
            <v>100</v>
          </cell>
          <cell r="H216" t="str">
            <v>現金</v>
          </cell>
          <cell r="J216">
            <v>604</v>
          </cell>
          <cell r="K216">
            <v>-1311245</v>
          </cell>
        </row>
        <row r="217">
          <cell r="A217">
            <v>210</v>
          </cell>
          <cell r="B217">
            <v>35836</v>
          </cell>
          <cell r="C217" t="str">
            <v>ティッシュ・歯磨き粉</v>
          </cell>
          <cell r="D217" t="str">
            <v>ニュードラッグ</v>
          </cell>
          <cell r="E217">
            <v>525</v>
          </cell>
          <cell r="F217" t="str">
            <v>消耗品費</v>
          </cell>
          <cell r="G217">
            <v>100</v>
          </cell>
          <cell r="H217" t="str">
            <v>現金</v>
          </cell>
          <cell r="J217">
            <v>2181</v>
          </cell>
          <cell r="K217">
            <v>-1313426</v>
          </cell>
        </row>
        <row r="218">
          <cell r="A218">
            <v>211</v>
          </cell>
          <cell r="B218">
            <v>35836</v>
          </cell>
          <cell r="C218" t="str">
            <v>ＦＡＸ</v>
          </cell>
          <cell r="D218" t="str">
            <v>ファミリーマート</v>
          </cell>
          <cell r="E218">
            <v>523</v>
          </cell>
          <cell r="F218" t="str">
            <v>通信費</v>
          </cell>
          <cell r="G218">
            <v>100</v>
          </cell>
          <cell r="H218" t="str">
            <v>現金</v>
          </cell>
          <cell r="J218">
            <v>400</v>
          </cell>
          <cell r="K218">
            <v>-1313826</v>
          </cell>
        </row>
        <row r="219">
          <cell r="A219">
            <v>212</v>
          </cell>
          <cell r="B219">
            <v>35836</v>
          </cell>
          <cell r="C219" t="str">
            <v>ＦＡＸ</v>
          </cell>
          <cell r="D219" t="str">
            <v>ファミリーマート</v>
          </cell>
          <cell r="E219">
            <v>523</v>
          </cell>
          <cell r="F219" t="str">
            <v>通信費</v>
          </cell>
          <cell r="G219">
            <v>100</v>
          </cell>
          <cell r="H219" t="str">
            <v>現金</v>
          </cell>
          <cell r="J219">
            <v>350</v>
          </cell>
          <cell r="K219">
            <v>-1314176</v>
          </cell>
        </row>
        <row r="220">
          <cell r="A220">
            <v>213</v>
          </cell>
          <cell r="B220">
            <v>35836</v>
          </cell>
          <cell r="C220" t="str">
            <v>亀コン竹下課長</v>
          </cell>
          <cell r="D220" t="str">
            <v>デニーズ</v>
          </cell>
          <cell r="E220">
            <v>535</v>
          </cell>
          <cell r="F220" t="str">
            <v>会議費</v>
          </cell>
          <cell r="G220">
            <v>100</v>
          </cell>
          <cell r="H220" t="str">
            <v>現金</v>
          </cell>
          <cell r="J220">
            <v>3255</v>
          </cell>
          <cell r="K220">
            <v>-1317431</v>
          </cell>
        </row>
        <row r="221">
          <cell r="A221">
            <v>214</v>
          </cell>
          <cell r="B221">
            <v>35837</v>
          </cell>
          <cell r="C221" t="str">
            <v>日立　斎藤氏</v>
          </cell>
          <cell r="D221" t="str">
            <v>TONY ROMA'S</v>
          </cell>
          <cell r="E221">
            <v>535</v>
          </cell>
          <cell r="F221" t="str">
            <v>会議費</v>
          </cell>
          <cell r="G221">
            <v>100</v>
          </cell>
          <cell r="H221" t="str">
            <v>現金</v>
          </cell>
          <cell r="J221">
            <v>9805</v>
          </cell>
          <cell r="K221">
            <v>-1327236</v>
          </cell>
        </row>
        <row r="222">
          <cell r="A222">
            <v>215</v>
          </cell>
          <cell r="B222">
            <v>35838</v>
          </cell>
          <cell r="C222" t="str">
            <v>コンピュータ関係</v>
          </cell>
          <cell r="D222" t="str">
            <v>あおい書店</v>
          </cell>
          <cell r="E222">
            <v>516</v>
          </cell>
          <cell r="F222" t="str">
            <v>図書研究費</v>
          </cell>
          <cell r="G222">
            <v>100</v>
          </cell>
          <cell r="H222" t="str">
            <v>現金</v>
          </cell>
          <cell r="J222">
            <v>1650</v>
          </cell>
          <cell r="K222">
            <v>-1328886</v>
          </cell>
        </row>
        <row r="223">
          <cell r="A223">
            <v>216</v>
          </cell>
          <cell r="B223">
            <v>35838</v>
          </cell>
          <cell r="C223" t="str">
            <v>ビジネス書</v>
          </cell>
          <cell r="D223" t="str">
            <v>山王書店</v>
          </cell>
          <cell r="E223">
            <v>516</v>
          </cell>
          <cell r="F223" t="str">
            <v>図書研究費</v>
          </cell>
          <cell r="G223">
            <v>100</v>
          </cell>
          <cell r="H223" t="str">
            <v>現金</v>
          </cell>
          <cell r="J223">
            <v>2640</v>
          </cell>
          <cell r="K223">
            <v>-1331526</v>
          </cell>
        </row>
        <row r="224">
          <cell r="A224">
            <v>217</v>
          </cell>
          <cell r="B224">
            <v>35838</v>
          </cell>
          <cell r="C224" t="str">
            <v>茶菓子代</v>
          </cell>
          <cell r="D224" t="str">
            <v>ローソン</v>
          </cell>
          <cell r="E224">
            <v>503</v>
          </cell>
          <cell r="F224" t="str">
            <v>福利厚生費</v>
          </cell>
          <cell r="G224">
            <v>100</v>
          </cell>
          <cell r="H224" t="str">
            <v>現金</v>
          </cell>
          <cell r="J224">
            <v>1363</v>
          </cell>
          <cell r="K224">
            <v>-1332889</v>
          </cell>
        </row>
        <row r="225">
          <cell r="A225">
            <v>218</v>
          </cell>
          <cell r="B225">
            <v>35839</v>
          </cell>
          <cell r="C225" t="str">
            <v>切手代</v>
          </cell>
          <cell r="D225" t="str">
            <v>ローソン</v>
          </cell>
          <cell r="E225">
            <v>523</v>
          </cell>
          <cell r="F225" t="str">
            <v>通信費</v>
          </cell>
          <cell r="G225">
            <v>100</v>
          </cell>
          <cell r="H225" t="str">
            <v>現金</v>
          </cell>
          <cell r="J225">
            <v>160</v>
          </cell>
          <cell r="K225">
            <v>-1333049</v>
          </cell>
        </row>
        <row r="226">
          <cell r="A226">
            <v>219</v>
          </cell>
          <cell r="B226">
            <v>35839</v>
          </cell>
          <cell r="C226" t="str">
            <v>お茶代</v>
          </cell>
          <cell r="D226" t="str">
            <v>ファミリーマート</v>
          </cell>
          <cell r="E226">
            <v>503</v>
          </cell>
          <cell r="F226" t="str">
            <v>福利厚生費</v>
          </cell>
          <cell r="G226">
            <v>100</v>
          </cell>
          <cell r="H226" t="str">
            <v>現金</v>
          </cell>
          <cell r="J226">
            <v>677</v>
          </cell>
          <cell r="K226">
            <v>-1333726</v>
          </cell>
        </row>
        <row r="227">
          <cell r="A227">
            <v>220</v>
          </cell>
          <cell r="B227">
            <v>35839</v>
          </cell>
          <cell r="C227" t="str">
            <v>ビジネス書</v>
          </cell>
          <cell r="D227" t="str">
            <v>ブックバーン</v>
          </cell>
          <cell r="E227">
            <v>516</v>
          </cell>
          <cell r="F227" t="str">
            <v>図書研究費</v>
          </cell>
          <cell r="G227">
            <v>100</v>
          </cell>
          <cell r="H227" t="str">
            <v>現金</v>
          </cell>
          <cell r="J227">
            <v>1470</v>
          </cell>
          <cell r="K227">
            <v>-1335196</v>
          </cell>
        </row>
        <row r="228">
          <cell r="A228">
            <v>221</v>
          </cell>
          <cell r="B228">
            <v>35840</v>
          </cell>
          <cell r="C228" t="str">
            <v>経営・経理関係</v>
          </cell>
          <cell r="D228" t="str">
            <v>三省堂</v>
          </cell>
          <cell r="E228">
            <v>516</v>
          </cell>
          <cell r="F228" t="str">
            <v>図書研究費</v>
          </cell>
          <cell r="G228">
            <v>100</v>
          </cell>
          <cell r="H228" t="str">
            <v>現金</v>
          </cell>
          <cell r="J228">
            <v>4620</v>
          </cell>
          <cell r="K228">
            <v>-1339816</v>
          </cell>
        </row>
        <row r="229">
          <cell r="A229">
            <v>222</v>
          </cell>
          <cell r="B229">
            <v>35842</v>
          </cell>
          <cell r="C229" t="str">
            <v>亀コン霞主任</v>
          </cell>
          <cell r="D229" t="str">
            <v>デザートスクウェア</v>
          </cell>
          <cell r="E229">
            <v>535</v>
          </cell>
          <cell r="F229" t="str">
            <v>会議費</v>
          </cell>
          <cell r="G229">
            <v>100</v>
          </cell>
          <cell r="H229" t="str">
            <v>現金</v>
          </cell>
          <cell r="J229">
            <v>2310</v>
          </cell>
          <cell r="K229">
            <v>-1342126</v>
          </cell>
        </row>
        <row r="230">
          <cell r="A230">
            <v>223</v>
          </cell>
          <cell r="B230">
            <v>35842</v>
          </cell>
          <cell r="C230" t="str">
            <v>新聞</v>
          </cell>
          <cell r="D230" t="str">
            <v>ローソン</v>
          </cell>
          <cell r="E230">
            <v>516</v>
          </cell>
          <cell r="F230" t="str">
            <v>図書研究費</v>
          </cell>
          <cell r="G230">
            <v>100</v>
          </cell>
          <cell r="H230" t="str">
            <v>現金</v>
          </cell>
          <cell r="J230">
            <v>130</v>
          </cell>
          <cell r="K230">
            <v>-1342256</v>
          </cell>
        </row>
        <row r="231">
          <cell r="A231">
            <v>224</v>
          </cell>
          <cell r="B231">
            <v>35842</v>
          </cell>
          <cell r="C231" t="str">
            <v>お茶代</v>
          </cell>
          <cell r="D231" t="str">
            <v>ローソン</v>
          </cell>
          <cell r="E231">
            <v>503</v>
          </cell>
          <cell r="F231" t="str">
            <v>福利厚生費</v>
          </cell>
          <cell r="G231">
            <v>100</v>
          </cell>
          <cell r="H231" t="str">
            <v>現金</v>
          </cell>
          <cell r="J231">
            <v>1725</v>
          </cell>
          <cell r="K231">
            <v>-1343981</v>
          </cell>
        </row>
        <row r="232">
          <cell r="A232">
            <v>225</v>
          </cell>
          <cell r="B232">
            <v>35842</v>
          </cell>
          <cell r="C232" t="str">
            <v>電気代</v>
          </cell>
          <cell r="D232" t="str">
            <v>東京電力</v>
          </cell>
          <cell r="E232">
            <v>530</v>
          </cell>
          <cell r="F232" t="str">
            <v>水道光熱費</v>
          </cell>
          <cell r="G232">
            <v>114</v>
          </cell>
          <cell r="H232" t="str">
            <v>普通預金</v>
          </cell>
          <cell r="J232">
            <v>8450</v>
          </cell>
          <cell r="K232">
            <v>-1352431</v>
          </cell>
        </row>
        <row r="233">
          <cell r="A233">
            <v>226</v>
          </cell>
          <cell r="B233">
            <v>35843</v>
          </cell>
          <cell r="C233" t="str">
            <v>HGP緒方氏</v>
          </cell>
          <cell r="D233" t="str">
            <v>ミスタードーナッツ</v>
          </cell>
          <cell r="E233">
            <v>535</v>
          </cell>
          <cell r="F233" t="str">
            <v>会議費</v>
          </cell>
          <cell r="G233">
            <v>100</v>
          </cell>
          <cell r="H233" t="str">
            <v>現金</v>
          </cell>
          <cell r="J233">
            <v>304</v>
          </cell>
          <cell r="K233">
            <v>-1352735</v>
          </cell>
        </row>
        <row r="234">
          <cell r="A234">
            <v>227</v>
          </cell>
          <cell r="B234">
            <v>35843</v>
          </cell>
          <cell r="C234" t="str">
            <v>お茶代</v>
          </cell>
          <cell r="D234" t="str">
            <v>ローソン</v>
          </cell>
          <cell r="E234">
            <v>503</v>
          </cell>
          <cell r="F234" t="str">
            <v>福利厚生費</v>
          </cell>
          <cell r="G234">
            <v>100</v>
          </cell>
          <cell r="H234" t="str">
            <v>現金</v>
          </cell>
          <cell r="J234">
            <v>522</v>
          </cell>
          <cell r="K234">
            <v>-1353257</v>
          </cell>
        </row>
        <row r="235">
          <cell r="A235">
            <v>228</v>
          </cell>
          <cell r="B235">
            <v>35843</v>
          </cell>
          <cell r="C235" t="str">
            <v>ラベル・クリップ</v>
          </cell>
          <cell r="D235" t="str">
            <v>萬力屋</v>
          </cell>
          <cell r="E235">
            <v>524</v>
          </cell>
          <cell r="F235" t="str">
            <v>事務消耗品費</v>
          </cell>
          <cell r="G235">
            <v>100</v>
          </cell>
          <cell r="H235" t="str">
            <v>現金</v>
          </cell>
          <cell r="J235">
            <v>262</v>
          </cell>
          <cell r="K235">
            <v>-1353519</v>
          </cell>
        </row>
        <row r="236">
          <cell r="A236">
            <v>229</v>
          </cell>
          <cell r="B236">
            <v>35844</v>
          </cell>
          <cell r="C236" t="str">
            <v>亀コン永田取締役</v>
          </cell>
          <cell r="D236" t="str">
            <v>大戸屋</v>
          </cell>
          <cell r="E236">
            <v>535</v>
          </cell>
          <cell r="F236" t="str">
            <v>会議費</v>
          </cell>
          <cell r="G236">
            <v>100</v>
          </cell>
          <cell r="H236" t="str">
            <v>現金</v>
          </cell>
          <cell r="J236">
            <v>1627</v>
          </cell>
          <cell r="K236">
            <v>-1355146</v>
          </cell>
        </row>
        <row r="237">
          <cell r="A237">
            <v>230</v>
          </cell>
          <cell r="B237">
            <v>35844</v>
          </cell>
          <cell r="C237" t="str">
            <v>茶菓子代</v>
          </cell>
          <cell r="D237" t="str">
            <v>ＡＳＡＮＯＹＡ</v>
          </cell>
          <cell r="E237">
            <v>503</v>
          </cell>
          <cell r="F237" t="str">
            <v>福利厚生費</v>
          </cell>
          <cell r="G237">
            <v>100</v>
          </cell>
          <cell r="H237" t="str">
            <v>現金</v>
          </cell>
          <cell r="J237">
            <v>650</v>
          </cell>
          <cell r="K237">
            <v>-1355796</v>
          </cell>
        </row>
        <row r="238">
          <cell r="A238">
            <v>231</v>
          </cell>
          <cell r="B238">
            <v>35844</v>
          </cell>
          <cell r="C238" t="str">
            <v>洗剤代</v>
          </cell>
          <cell r="D238" t="str">
            <v>ニュードラッグ</v>
          </cell>
          <cell r="E238">
            <v>525</v>
          </cell>
          <cell r="F238" t="str">
            <v>消耗品費</v>
          </cell>
          <cell r="G238">
            <v>100</v>
          </cell>
          <cell r="H238" t="str">
            <v>現金</v>
          </cell>
          <cell r="J238">
            <v>1201</v>
          </cell>
          <cell r="K238">
            <v>-1356997</v>
          </cell>
        </row>
        <row r="239">
          <cell r="A239">
            <v>232</v>
          </cell>
          <cell r="B239">
            <v>35844</v>
          </cell>
          <cell r="C239" t="str">
            <v>ビジネス書</v>
          </cell>
          <cell r="D239" t="str">
            <v>あおい書店</v>
          </cell>
          <cell r="E239">
            <v>516</v>
          </cell>
          <cell r="F239" t="str">
            <v>図書研究費</v>
          </cell>
          <cell r="G239">
            <v>100</v>
          </cell>
          <cell r="H239" t="str">
            <v>現金</v>
          </cell>
          <cell r="J239">
            <v>1650</v>
          </cell>
          <cell r="K239">
            <v>-1358647</v>
          </cell>
        </row>
        <row r="240">
          <cell r="A240">
            <v>233</v>
          </cell>
          <cell r="B240">
            <v>35844</v>
          </cell>
          <cell r="C240" t="str">
            <v>コンピュータ関係</v>
          </cell>
          <cell r="D240" t="str">
            <v>あおい書店</v>
          </cell>
          <cell r="E240">
            <v>516</v>
          </cell>
          <cell r="F240" t="str">
            <v>図書研究費</v>
          </cell>
          <cell r="G240">
            <v>100</v>
          </cell>
          <cell r="H240" t="str">
            <v>現金</v>
          </cell>
          <cell r="J240">
            <v>4193</v>
          </cell>
          <cell r="K240">
            <v>-1362840</v>
          </cell>
        </row>
        <row r="241">
          <cell r="A241">
            <v>234</v>
          </cell>
          <cell r="B241">
            <v>35844</v>
          </cell>
          <cell r="C241" t="str">
            <v>切手代</v>
          </cell>
          <cell r="D241" t="str">
            <v>郵便局</v>
          </cell>
          <cell r="E241">
            <v>523</v>
          </cell>
          <cell r="F241" t="str">
            <v>通信費</v>
          </cell>
          <cell r="G241">
            <v>100</v>
          </cell>
          <cell r="H241" t="str">
            <v>現金</v>
          </cell>
          <cell r="J241">
            <v>1000</v>
          </cell>
          <cell r="K241">
            <v>-1363840</v>
          </cell>
        </row>
        <row r="242">
          <cell r="A242">
            <v>235</v>
          </cell>
          <cell r="B242">
            <v>35845</v>
          </cell>
          <cell r="C242" t="str">
            <v>亀コン霞主任</v>
          </cell>
          <cell r="D242" t="str">
            <v>ミスタードーナッツ</v>
          </cell>
          <cell r="E242">
            <v>535</v>
          </cell>
          <cell r="F242" t="str">
            <v>会議費</v>
          </cell>
          <cell r="G242">
            <v>100</v>
          </cell>
          <cell r="H242" t="str">
            <v>現金</v>
          </cell>
          <cell r="J242">
            <v>817</v>
          </cell>
          <cell r="K242">
            <v>-1364657</v>
          </cell>
        </row>
        <row r="243">
          <cell r="A243">
            <v>236</v>
          </cell>
          <cell r="B243">
            <v>35845</v>
          </cell>
          <cell r="C243" t="str">
            <v>コピー</v>
          </cell>
          <cell r="D243" t="str">
            <v>Ｋｉｎｋｏ’ｓ</v>
          </cell>
          <cell r="E243">
            <v>524</v>
          </cell>
          <cell r="F243" t="str">
            <v>事務消耗品費</v>
          </cell>
          <cell r="G243">
            <v>100</v>
          </cell>
          <cell r="H243" t="str">
            <v>現金</v>
          </cell>
          <cell r="J243">
            <v>94</v>
          </cell>
          <cell r="K243">
            <v>-1364751</v>
          </cell>
        </row>
        <row r="244">
          <cell r="A244">
            <v>237</v>
          </cell>
          <cell r="B244">
            <v>35845</v>
          </cell>
          <cell r="C244" t="str">
            <v>速達代</v>
          </cell>
          <cell r="D244" t="str">
            <v>郵便局</v>
          </cell>
          <cell r="E244">
            <v>523</v>
          </cell>
          <cell r="F244" t="str">
            <v>通信費</v>
          </cell>
          <cell r="G244">
            <v>100</v>
          </cell>
          <cell r="H244" t="str">
            <v>現金</v>
          </cell>
          <cell r="J244">
            <v>350</v>
          </cell>
          <cell r="K244">
            <v>-1365101</v>
          </cell>
        </row>
        <row r="245">
          <cell r="A245">
            <v>238</v>
          </cell>
          <cell r="B245">
            <v>35845</v>
          </cell>
          <cell r="C245" t="str">
            <v>ＦＡＸ</v>
          </cell>
          <cell r="D245" t="str">
            <v>ａｍ　ｐｍ</v>
          </cell>
          <cell r="E245">
            <v>523</v>
          </cell>
          <cell r="F245" t="str">
            <v>通信費</v>
          </cell>
          <cell r="G245">
            <v>100</v>
          </cell>
          <cell r="H245" t="str">
            <v>現金</v>
          </cell>
          <cell r="J245">
            <v>600</v>
          </cell>
          <cell r="K245">
            <v>-1365701</v>
          </cell>
        </row>
        <row r="246">
          <cell r="A246">
            <v>239</v>
          </cell>
          <cell r="B246">
            <v>35845</v>
          </cell>
          <cell r="C246" t="str">
            <v>ＦＡＸ</v>
          </cell>
          <cell r="D246" t="str">
            <v>ファミリーマート</v>
          </cell>
          <cell r="E246">
            <v>523</v>
          </cell>
          <cell r="F246" t="str">
            <v>通信費</v>
          </cell>
          <cell r="G246">
            <v>100</v>
          </cell>
          <cell r="H246" t="str">
            <v>現金</v>
          </cell>
          <cell r="J246">
            <v>750</v>
          </cell>
          <cell r="K246">
            <v>-1366451</v>
          </cell>
        </row>
        <row r="247">
          <cell r="A247">
            <v>240</v>
          </cell>
          <cell r="B247">
            <v>35845</v>
          </cell>
          <cell r="C247" t="str">
            <v>お茶代</v>
          </cell>
          <cell r="D247" t="str">
            <v>ａｍ　ｐｍ</v>
          </cell>
          <cell r="E247">
            <v>503</v>
          </cell>
          <cell r="F247" t="str">
            <v>福利厚生費</v>
          </cell>
          <cell r="G247">
            <v>100</v>
          </cell>
          <cell r="H247" t="str">
            <v>現金</v>
          </cell>
          <cell r="J247">
            <v>688</v>
          </cell>
          <cell r="K247">
            <v>-1367139</v>
          </cell>
        </row>
        <row r="248">
          <cell r="A248">
            <v>241</v>
          </cell>
          <cell r="B248">
            <v>35846</v>
          </cell>
          <cell r="C248" t="str">
            <v>コンピュータ雑誌</v>
          </cell>
          <cell r="D248" t="str">
            <v>ファミリーマート</v>
          </cell>
          <cell r="E248">
            <v>516</v>
          </cell>
          <cell r="F248" t="str">
            <v>図書研究費</v>
          </cell>
          <cell r="G248">
            <v>100</v>
          </cell>
          <cell r="H248" t="str">
            <v>現金</v>
          </cell>
          <cell r="J248">
            <v>250</v>
          </cell>
          <cell r="K248">
            <v>-1367389</v>
          </cell>
        </row>
        <row r="249">
          <cell r="A249">
            <v>242</v>
          </cell>
          <cell r="B249">
            <v>35846</v>
          </cell>
          <cell r="C249" t="str">
            <v>茶菓子代</v>
          </cell>
          <cell r="D249" t="str">
            <v>ファミリーマート</v>
          </cell>
          <cell r="E249">
            <v>503</v>
          </cell>
          <cell r="F249" t="str">
            <v>福利厚生費</v>
          </cell>
          <cell r="G249">
            <v>100</v>
          </cell>
          <cell r="H249" t="str">
            <v>現金</v>
          </cell>
          <cell r="J249">
            <v>168</v>
          </cell>
          <cell r="K249">
            <v>-1367557</v>
          </cell>
        </row>
        <row r="250">
          <cell r="A250">
            <v>243</v>
          </cell>
          <cell r="B250">
            <v>35846</v>
          </cell>
          <cell r="C250" t="str">
            <v>戸籍抄本</v>
          </cell>
          <cell r="D250" t="str">
            <v>柏市役所</v>
          </cell>
          <cell r="E250">
            <v>538</v>
          </cell>
          <cell r="F250" t="str">
            <v>雑費</v>
          </cell>
          <cell r="G250">
            <v>100</v>
          </cell>
          <cell r="H250" t="str">
            <v>現金</v>
          </cell>
          <cell r="J250">
            <v>900</v>
          </cell>
          <cell r="K250">
            <v>-1368457</v>
          </cell>
        </row>
        <row r="251">
          <cell r="A251">
            <v>244</v>
          </cell>
          <cell r="B251">
            <v>35846</v>
          </cell>
          <cell r="C251" t="str">
            <v>はんこ</v>
          </cell>
          <cell r="D251" t="str">
            <v>（株）コヤマ</v>
          </cell>
          <cell r="E251">
            <v>524</v>
          </cell>
          <cell r="F251" t="str">
            <v>事務消耗品費</v>
          </cell>
          <cell r="G251">
            <v>100</v>
          </cell>
          <cell r="H251" t="str">
            <v>現金</v>
          </cell>
          <cell r="J251">
            <v>735</v>
          </cell>
          <cell r="K251">
            <v>-1369192</v>
          </cell>
        </row>
        <row r="252">
          <cell r="A252">
            <v>245</v>
          </cell>
          <cell r="B252">
            <v>35846</v>
          </cell>
          <cell r="C252" t="str">
            <v>亀コン　竹下課長</v>
          </cell>
          <cell r="D252" t="str">
            <v>PRONTO</v>
          </cell>
          <cell r="E252">
            <v>535</v>
          </cell>
          <cell r="F252" t="str">
            <v>会議費</v>
          </cell>
          <cell r="G252">
            <v>100</v>
          </cell>
          <cell r="H252" t="str">
            <v>現金</v>
          </cell>
          <cell r="J252">
            <v>3654</v>
          </cell>
          <cell r="K252">
            <v>-1372846</v>
          </cell>
        </row>
        <row r="253">
          <cell r="A253">
            <v>246</v>
          </cell>
          <cell r="B253">
            <v>35848</v>
          </cell>
          <cell r="C253" t="str">
            <v>茶菓子代</v>
          </cell>
          <cell r="D253" t="str">
            <v>ａｍ　ｐｍ</v>
          </cell>
          <cell r="E253">
            <v>503</v>
          </cell>
          <cell r="F253" t="str">
            <v>福利厚生費</v>
          </cell>
          <cell r="G253">
            <v>100</v>
          </cell>
          <cell r="H253" t="str">
            <v>現金</v>
          </cell>
          <cell r="J253">
            <v>375</v>
          </cell>
          <cell r="K253">
            <v>-1373221</v>
          </cell>
        </row>
        <row r="254">
          <cell r="A254">
            <v>247</v>
          </cell>
          <cell r="B254">
            <v>35849</v>
          </cell>
          <cell r="C254" t="str">
            <v>経済書</v>
          </cell>
          <cell r="D254" t="str">
            <v>紀伊国屋</v>
          </cell>
          <cell r="E254">
            <v>516</v>
          </cell>
          <cell r="F254" t="str">
            <v>図書研究費</v>
          </cell>
          <cell r="G254">
            <v>100</v>
          </cell>
          <cell r="H254" t="str">
            <v>現金</v>
          </cell>
          <cell r="J254">
            <v>5393</v>
          </cell>
          <cell r="K254">
            <v>-1378614</v>
          </cell>
        </row>
        <row r="255">
          <cell r="A255">
            <v>248</v>
          </cell>
          <cell r="B255">
            <v>35849</v>
          </cell>
          <cell r="C255" t="str">
            <v>夜食代</v>
          </cell>
          <cell r="D255" t="str">
            <v>クィーンズシェフ</v>
          </cell>
          <cell r="E255">
            <v>503</v>
          </cell>
          <cell r="F255" t="str">
            <v>福利厚生費</v>
          </cell>
          <cell r="G255">
            <v>100</v>
          </cell>
          <cell r="H255" t="str">
            <v>現金</v>
          </cell>
          <cell r="J255">
            <v>604</v>
          </cell>
          <cell r="K255">
            <v>-1379218</v>
          </cell>
        </row>
        <row r="256">
          <cell r="A256">
            <v>249</v>
          </cell>
          <cell r="B256">
            <v>35849</v>
          </cell>
          <cell r="C256" t="str">
            <v>夜食代</v>
          </cell>
          <cell r="D256" t="str">
            <v>クィーンズシェフ</v>
          </cell>
          <cell r="E256">
            <v>503</v>
          </cell>
          <cell r="F256" t="str">
            <v>福利厚生費</v>
          </cell>
          <cell r="G256">
            <v>100</v>
          </cell>
          <cell r="H256" t="str">
            <v>現金</v>
          </cell>
          <cell r="J256">
            <v>483</v>
          </cell>
          <cell r="K256">
            <v>-1379701</v>
          </cell>
        </row>
        <row r="257">
          <cell r="A257">
            <v>250</v>
          </cell>
          <cell r="B257">
            <v>35849</v>
          </cell>
          <cell r="C257" t="str">
            <v>夜食代</v>
          </cell>
          <cell r="D257" t="str">
            <v>セイフー</v>
          </cell>
          <cell r="E257">
            <v>503</v>
          </cell>
          <cell r="F257" t="str">
            <v>福利厚生費</v>
          </cell>
          <cell r="G257">
            <v>100</v>
          </cell>
          <cell r="H257" t="str">
            <v>現金</v>
          </cell>
          <cell r="J257">
            <v>938</v>
          </cell>
          <cell r="K257">
            <v>-1380639</v>
          </cell>
        </row>
        <row r="258">
          <cell r="A258">
            <v>251</v>
          </cell>
          <cell r="B258">
            <v>35849</v>
          </cell>
          <cell r="C258" t="str">
            <v>夜食代</v>
          </cell>
          <cell r="D258" t="str">
            <v>丸正</v>
          </cell>
          <cell r="E258">
            <v>503</v>
          </cell>
          <cell r="F258" t="str">
            <v>福利厚生費</v>
          </cell>
          <cell r="G258">
            <v>100</v>
          </cell>
          <cell r="H258" t="str">
            <v>現金</v>
          </cell>
          <cell r="J258">
            <v>1657</v>
          </cell>
          <cell r="K258">
            <v>-1382296</v>
          </cell>
        </row>
        <row r="259">
          <cell r="A259">
            <v>252</v>
          </cell>
          <cell r="B259">
            <v>35851</v>
          </cell>
          <cell r="C259" t="str">
            <v>亀コン　永田取締役</v>
          </cell>
          <cell r="D259" t="str">
            <v>フレッシュネスバーガー</v>
          </cell>
          <cell r="E259">
            <v>535</v>
          </cell>
          <cell r="F259" t="str">
            <v>会議費</v>
          </cell>
          <cell r="G259">
            <v>100</v>
          </cell>
          <cell r="H259" t="str">
            <v>現金</v>
          </cell>
          <cell r="J259">
            <v>1071</v>
          </cell>
          <cell r="K259">
            <v>-1383367</v>
          </cell>
        </row>
        <row r="260">
          <cell r="A260">
            <v>253</v>
          </cell>
          <cell r="B260">
            <v>35851</v>
          </cell>
          <cell r="C260" t="str">
            <v>茶菓子代</v>
          </cell>
          <cell r="D260" t="str">
            <v>一口茶屋</v>
          </cell>
          <cell r="E260">
            <v>503</v>
          </cell>
          <cell r="F260" t="str">
            <v>福利厚生費</v>
          </cell>
          <cell r="G260">
            <v>100</v>
          </cell>
          <cell r="H260" t="str">
            <v>現金</v>
          </cell>
          <cell r="J260">
            <v>380</v>
          </cell>
          <cell r="K260">
            <v>-1383747</v>
          </cell>
        </row>
        <row r="261">
          <cell r="A261">
            <v>254</v>
          </cell>
          <cell r="B261">
            <v>35851</v>
          </cell>
          <cell r="C261" t="str">
            <v>ビジネス書</v>
          </cell>
          <cell r="D261" t="str">
            <v>丸善</v>
          </cell>
          <cell r="E261">
            <v>516</v>
          </cell>
          <cell r="F261" t="str">
            <v>図書研究費</v>
          </cell>
          <cell r="G261">
            <v>100</v>
          </cell>
          <cell r="H261" t="str">
            <v>現金</v>
          </cell>
          <cell r="J261">
            <v>1365</v>
          </cell>
          <cell r="K261">
            <v>-1385112</v>
          </cell>
        </row>
        <row r="262">
          <cell r="A262">
            <v>255</v>
          </cell>
          <cell r="B262">
            <v>35851</v>
          </cell>
          <cell r="C262" t="str">
            <v>夜食代</v>
          </cell>
          <cell r="D262" t="str">
            <v>セイフー</v>
          </cell>
          <cell r="E262">
            <v>503</v>
          </cell>
          <cell r="F262" t="str">
            <v>福利厚生費</v>
          </cell>
          <cell r="G262">
            <v>100</v>
          </cell>
          <cell r="H262" t="str">
            <v>現金</v>
          </cell>
          <cell r="J262">
            <v>730</v>
          </cell>
          <cell r="K262">
            <v>-1385842</v>
          </cell>
        </row>
        <row r="263">
          <cell r="A263">
            <v>256</v>
          </cell>
          <cell r="B263">
            <v>35851</v>
          </cell>
          <cell r="C263" t="str">
            <v>亀コン　永田取締役</v>
          </cell>
          <cell r="D263" t="str">
            <v>Big Pan</v>
          </cell>
          <cell r="E263">
            <v>535</v>
          </cell>
          <cell r="F263" t="str">
            <v>会議費</v>
          </cell>
          <cell r="G263">
            <v>100</v>
          </cell>
          <cell r="H263" t="str">
            <v>現金</v>
          </cell>
          <cell r="J263">
            <v>3475</v>
          </cell>
          <cell r="K263">
            <v>-1389317</v>
          </cell>
        </row>
        <row r="264">
          <cell r="A264">
            <v>257</v>
          </cell>
          <cell r="B264">
            <v>35852</v>
          </cell>
          <cell r="C264" t="str">
            <v>家賃</v>
          </cell>
          <cell r="D264" t="str">
            <v>大塚刷毛製造（株）</v>
          </cell>
          <cell r="E264">
            <v>528</v>
          </cell>
          <cell r="F264" t="str">
            <v>地代・家賃</v>
          </cell>
          <cell r="G264">
            <v>100</v>
          </cell>
          <cell r="H264" t="str">
            <v>現金</v>
          </cell>
          <cell r="J264">
            <v>89000</v>
          </cell>
          <cell r="K264">
            <v>-1478317</v>
          </cell>
        </row>
        <row r="265">
          <cell r="A265">
            <v>258</v>
          </cell>
          <cell r="B265">
            <v>35852</v>
          </cell>
          <cell r="C265" t="str">
            <v>セロテープ・ステープラ針</v>
          </cell>
          <cell r="E265">
            <v>524</v>
          </cell>
          <cell r="F265" t="str">
            <v>事務消耗品費</v>
          </cell>
          <cell r="G265">
            <v>100</v>
          </cell>
          <cell r="H265" t="str">
            <v>現金</v>
          </cell>
          <cell r="J265">
            <v>610</v>
          </cell>
          <cell r="K265">
            <v>-1478927</v>
          </cell>
        </row>
        <row r="266">
          <cell r="A266">
            <v>259</v>
          </cell>
          <cell r="B266">
            <v>35853</v>
          </cell>
          <cell r="C266" t="str">
            <v>はがき</v>
          </cell>
          <cell r="D266" t="str">
            <v>ａｍ　ｐｍ</v>
          </cell>
          <cell r="E266">
            <v>523</v>
          </cell>
          <cell r="F266" t="str">
            <v>通信費</v>
          </cell>
          <cell r="G266">
            <v>100</v>
          </cell>
          <cell r="H266" t="str">
            <v>現金</v>
          </cell>
          <cell r="J266">
            <v>350</v>
          </cell>
          <cell r="K266">
            <v>-1479277</v>
          </cell>
        </row>
        <row r="267">
          <cell r="A267">
            <v>260</v>
          </cell>
          <cell r="B267">
            <v>35853</v>
          </cell>
          <cell r="C267" t="str">
            <v>茶菓子代</v>
          </cell>
          <cell r="D267" t="str">
            <v>ファミリーマート</v>
          </cell>
          <cell r="E267">
            <v>503</v>
          </cell>
          <cell r="F267" t="str">
            <v>福利厚生費</v>
          </cell>
          <cell r="G267">
            <v>100</v>
          </cell>
          <cell r="H267" t="str">
            <v>現金</v>
          </cell>
          <cell r="J267">
            <v>412</v>
          </cell>
          <cell r="K267">
            <v>-1479689</v>
          </cell>
        </row>
        <row r="268">
          <cell r="A268">
            <v>261</v>
          </cell>
          <cell r="B268">
            <v>35853</v>
          </cell>
          <cell r="C268" t="str">
            <v>茶菓子代</v>
          </cell>
          <cell r="E268">
            <v>503</v>
          </cell>
          <cell r="F268" t="str">
            <v>福利厚生費</v>
          </cell>
          <cell r="G268">
            <v>100</v>
          </cell>
          <cell r="H268" t="str">
            <v>現金</v>
          </cell>
          <cell r="J268">
            <v>294</v>
          </cell>
          <cell r="K268">
            <v>-1479983</v>
          </cell>
        </row>
        <row r="269">
          <cell r="A269">
            <v>262</v>
          </cell>
          <cell r="B269">
            <v>35853</v>
          </cell>
          <cell r="C269" t="str">
            <v>PHS通話料</v>
          </cell>
          <cell r="D269" t="str">
            <v>ＤＤＩポケット</v>
          </cell>
          <cell r="E269">
            <v>523</v>
          </cell>
          <cell r="F269" t="str">
            <v>通信費</v>
          </cell>
          <cell r="G269">
            <v>114</v>
          </cell>
          <cell r="H269" t="str">
            <v>普通預金</v>
          </cell>
          <cell r="J269">
            <v>5544</v>
          </cell>
          <cell r="K269">
            <v>-1485527</v>
          </cell>
        </row>
        <row r="270">
          <cell r="A270">
            <v>263</v>
          </cell>
          <cell r="B270">
            <v>35854</v>
          </cell>
          <cell r="C270" t="str">
            <v>夜食代</v>
          </cell>
          <cell r="D270" t="str">
            <v>セイフー</v>
          </cell>
          <cell r="E270">
            <v>503</v>
          </cell>
          <cell r="F270" t="str">
            <v>福利厚生費</v>
          </cell>
          <cell r="G270">
            <v>100</v>
          </cell>
          <cell r="H270" t="str">
            <v>現金</v>
          </cell>
          <cell r="J270">
            <v>281</v>
          </cell>
          <cell r="K270">
            <v>-1485808</v>
          </cell>
        </row>
        <row r="271">
          <cell r="A271">
            <v>264</v>
          </cell>
          <cell r="B271">
            <v>35854</v>
          </cell>
          <cell r="C271" t="str">
            <v>給料</v>
          </cell>
          <cell r="D271" t="str">
            <v>細川万紀子</v>
          </cell>
          <cell r="E271">
            <v>501</v>
          </cell>
          <cell r="F271" t="str">
            <v>給料手当</v>
          </cell>
          <cell r="G271">
            <v>100</v>
          </cell>
          <cell r="H271" t="str">
            <v>現金</v>
          </cell>
          <cell r="J271">
            <v>463070</v>
          </cell>
          <cell r="K271">
            <v>-1948878</v>
          </cell>
        </row>
        <row r="272">
          <cell r="A272">
            <v>265</v>
          </cell>
          <cell r="B272">
            <v>35854</v>
          </cell>
          <cell r="C272" t="str">
            <v>源泉所得税</v>
          </cell>
          <cell r="D272" t="str">
            <v>細川万紀子</v>
          </cell>
          <cell r="E272">
            <v>501</v>
          </cell>
          <cell r="F272" t="str">
            <v>給料手当</v>
          </cell>
          <cell r="G272">
            <v>208</v>
          </cell>
          <cell r="H272" t="str">
            <v>預り金</v>
          </cell>
          <cell r="J272">
            <v>36930</v>
          </cell>
          <cell r="K272">
            <v>-1985808</v>
          </cell>
        </row>
        <row r="273">
          <cell r="A273">
            <v>266</v>
          </cell>
          <cell r="B273">
            <v>35855</v>
          </cell>
          <cell r="C273" t="str">
            <v>亀ｺﾝ永田氏・竹下氏・霞氏・山口氏</v>
          </cell>
          <cell r="E273">
            <v>535</v>
          </cell>
          <cell r="F273" t="str">
            <v>会議費</v>
          </cell>
          <cell r="G273">
            <v>100</v>
          </cell>
          <cell r="H273" t="str">
            <v>現金</v>
          </cell>
          <cell r="J273">
            <v>9900</v>
          </cell>
          <cell r="K273">
            <v>-1995708</v>
          </cell>
        </row>
        <row r="274">
          <cell r="A274">
            <v>267</v>
          </cell>
          <cell r="B274">
            <v>35855</v>
          </cell>
          <cell r="C274" t="str">
            <v>夜食代</v>
          </cell>
          <cell r="D274" t="str">
            <v>ローソン</v>
          </cell>
          <cell r="E274">
            <v>503</v>
          </cell>
          <cell r="F274" t="str">
            <v>福利厚生費</v>
          </cell>
          <cell r="G274">
            <v>100</v>
          </cell>
          <cell r="H274" t="str">
            <v>現金</v>
          </cell>
          <cell r="J274">
            <v>1260</v>
          </cell>
          <cell r="K274">
            <v>-1996968</v>
          </cell>
        </row>
        <row r="275">
          <cell r="A275">
            <v>268</v>
          </cell>
          <cell r="B275">
            <v>35856</v>
          </cell>
          <cell r="C275" t="str">
            <v>ごみ袋</v>
          </cell>
          <cell r="D275" t="str">
            <v>ニュードラッグ</v>
          </cell>
          <cell r="E275">
            <v>538</v>
          </cell>
          <cell r="F275" t="str">
            <v>雑費</v>
          </cell>
          <cell r="G275">
            <v>100</v>
          </cell>
          <cell r="H275" t="str">
            <v>現金</v>
          </cell>
          <cell r="J275">
            <v>71</v>
          </cell>
          <cell r="K275">
            <v>-1997039</v>
          </cell>
        </row>
        <row r="276">
          <cell r="A276">
            <v>269</v>
          </cell>
          <cell r="B276">
            <v>35856</v>
          </cell>
          <cell r="C276" t="str">
            <v>亀ｺﾝ永田氏・竹下氏・霞氏</v>
          </cell>
          <cell r="D276" t="str">
            <v>じゃがいも亭</v>
          </cell>
          <cell r="E276">
            <v>535</v>
          </cell>
          <cell r="F276" t="str">
            <v>会議費</v>
          </cell>
          <cell r="G276">
            <v>100</v>
          </cell>
          <cell r="H276" t="str">
            <v>現金</v>
          </cell>
          <cell r="J276">
            <v>4000</v>
          </cell>
          <cell r="K276">
            <v>-2001039</v>
          </cell>
        </row>
        <row r="277">
          <cell r="A277">
            <v>270</v>
          </cell>
          <cell r="B277">
            <v>35856</v>
          </cell>
          <cell r="C277" t="str">
            <v>茶菓子代</v>
          </cell>
          <cell r="D277" t="str">
            <v>サンクス</v>
          </cell>
          <cell r="E277">
            <v>503</v>
          </cell>
          <cell r="F277" t="str">
            <v>福利厚生費</v>
          </cell>
          <cell r="G277">
            <v>100</v>
          </cell>
          <cell r="H277" t="str">
            <v>現金</v>
          </cell>
          <cell r="J277">
            <v>1096</v>
          </cell>
          <cell r="K277">
            <v>-2002135</v>
          </cell>
        </row>
        <row r="278">
          <cell r="A278">
            <v>271</v>
          </cell>
          <cell r="B278">
            <v>35857</v>
          </cell>
          <cell r="C278" t="str">
            <v>茶菓子代</v>
          </cell>
          <cell r="D278" t="str">
            <v>KOBE BELL</v>
          </cell>
          <cell r="E278">
            <v>503</v>
          </cell>
          <cell r="F278" t="str">
            <v>福利厚生費</v>
          </cell>
          <cell r="G278">
            <v>100</v>
          </cell>
          <cell r="H278" t="str">
            <v>現金</v>
          </cell>
          <cell r="J278">
            <v>305</v>
          </cell>
          <cell r="K278">
            <v>-2002440</v>
          </cell>
        </row>
        <row r="279">
          <cell r="A279">
            <v>272</v>
          </cell>
          <cell r="B279">
            <v>35857</v>
          </cell>
          <cell r="C279" t="str">
            <v>夜食代</v>
          </cell>
          <cell r="D279" t="str">
            <v>am pm</v>
          </cell>
          <cell r="E279">
            <v>503</v>
          </cell>
          <cell r="F279" t="str">
            <v>福利厚生費</v>
          </cell>
          <cell r="G279">
            <v>100</v>
          </cell>
          <cell r="H279" t="str">
            <v>現金</v>
          </cell>
          <cell r="J279">
            <v>924</v>
          </cell>
          <cell r="K279">
            <v>-2003364</v>
          </cell>
        </row>
        <row r="280">
          <cell r="A280">
            <v>273</v>
          </cell>
          <cell r="B280">
            <v>35857</v>
          </cell>
          <cell r="C280" t="str">
            <v>お茶代</v>
          </cell>
          <cell r="D280" t="str">
            <v>am pm</v>
          </cell>
          <cell r="E280">
            <v>503</v>
          </cell>
          <cell r="F280" t="str">
            <v>福利厚生費</v>
          </cell>
          <cell r="G280">
            <v>100</v>
          </cell>
          <cell r="H280" t="str">
            <v>現金</v>
          </cell>
          <cell r="J280">
            <v>1102</v>
          </cell>
          <cell r="K280">
            <v>-2004466</v>
          </cell>
        </row>
        <row r="281">
          <cell r="A281">
            <v>274</v>
          </cell>
          <cell r="B281">
            <v>35857</v>
          </cell>
          <cell r="C281" t="str">
            <v>会計顧問報酬</v>
          </cell>
          <cell r="D281" t="str">
            <v>中川会計事務所</v>
          </cell>
          <cell r="E281">
            <v>537</v>
          </cell>
          <cell r="F281" t="str">
            <v>顧問報酬</v>
          </cell>
          <cell r="G281">
            <v>100</v>
          </cell>
          <cell r="H281" t="str">
            <v>現金</v>
          </cell>
          <cell r="J281">
            <v>14250</v>
          </cell>
          <cell r="K281">
            <v>-2018716</v>
          </cell>
        </row>
        <row r="282">
          <cell r="A282">
            <v>275</v>
          </cell>
          <cell r="B282">
            <v>35857</v>
          </cell>
          <cell r="C282" t="str">
            <v>源泉所得税</v>
          </cell>
          <cell r="D282" t="str">
            <v>中川会計事務所</v>
          </cell>
          <cell r="E282">
            <v>537</v>
          </cell>
          <cell r="F282" t="str">
            <v>顧問報酬</v>
          </cell>
          <cell r="G282">
            <v>208</v>
          </cell>
          <cell r="H282" t="str">
            <v>預り金</v>
          </cell>
          <cell r="J282">
            <v>1500</v>
          </cell>
          <cell r="K282">
            <v>-2020216</v>
          </cell>
        </row>
        <row r="283">
          <cell r="A283">
            <v>276</v>
          </cell>
          <cell r="B283">
            <v>35857</v>
          </cell>
          <cell r="C283" t="str">
            <v>亀ｺﾝ竹下氏・山口氏</v>
          </cell>
          <cell r="D283" t="str">
            <v>牛庵</v>
          </cell>
          <cell r="E283">
            <v>535</v>
          </cell>
          <cell r="F283" t="str">
            <v>会議費</v>
          </cell>
          <cell r="G283">
            <v>100</v>
          </cell>
          <cell r="H283" t="str">
            <v>現金</v>
          </cell>
          <cell r="J283">
            <v>1940</v>
          </cell>
          <cell r="K283">
            <v>-2022156</v>
          </cell>
        </row>
        <row r="284">
          <cell r="A284">
            <v>277</v>
          </cell>
          <cell r="B284">
            <v>35858</v>
          </cell>
          <cell r="C284" t="str">
            <v>夜食代</v>
          </cell>
          <cell r="D284" t="str">
            <v>am pm</v>
          </cell>
          <cell r="E284">
            <v>503</v>
          </cell>
          <cell r="F284" t="str">
            <v>福利厚生費</v>
          </cell>
          <cell r="G284">
            <v>100</v>
          </cell>
          <cell r="H284" t="str">
            <v>現金</v>
          </cell>
          <cell r="J284">
            <v>1170</v>
          </cell>
          <cell r="K284">
            <v>-2023326</v>
          </cell>
        </row>
        <row r="285">
          <cell r="A285">
            <v>278</v>
          </cell>
          <cell r="B285">
            <v>35858</v>
          </cell>
          <cell r="C285" t="str">
            <v>夜食代</v>
          </cell>
          <cell r="D285" t="str">
            <v>セイフー</v>
          </cell>
          <cell r="E285">
            <v>503</v>
          </cell>
          <cell r="F285" t="str">
            <v>福利厚生費</v>
          </cell>
          <cell r="G285">
            <v>100</v>
          </cell>
          <cell r="H285" t="str">
            <v>現金</v>
          </cell>
          <cell r="J285">
            <v>783</v>
          </cell>
          <cell r="K285">
            <v>-2024109</v>
          </cell>
        </row>
        <row r="286">
          <cell r="A286">
            <v>279</v>
          </cell>
          <cell r="B286">
            <v>35858</v>
          </cell>
          <cell r="C286" t="str">
            <v>茶菓子代</v>
          </cell>
          <cell r="D286" t="str">
            <v>am pm</v>
          </cell>
          <cell r="E286">
            <v>503</v>
          </cell>
          <cell r="F286" t="str">
            <v>福利厚生費</v>
          </cell>
          <cell r="G286">
            <v>100</v>
          </cell>
          <cell r="H286" t="str">
            <v>現金</v>
          </cell>
          <cell r="J286">
            <v>365</v>
          </cell>
          <cell r="K286">
            <v>-2024474</v>
          </cell>
        </row>
        <row r="287">
          <cell r="A287">
            <v>280</v>
          </cell>
          <cell r="B287">
            <v>35858</v>
          </cell>
          <cell r="C287" t="str">
            <v>お茶代</v>
          </cell>
          <cell r="D287" t="str">
            <v>am pm</v>
          </cell>
          <cell r="E287">
            <v>503</v>
          </cell>
          <cell r="F287" t="str">
            <v>福利厚生費</v>
          </cell>
          <cell r="G287">
            <v>100</v>
          </cell>
          <cell r="H287" t="str">
            <v>現金</v>
          </cell>
          <cell r="J287">
            <v>136</v>
          </cell>
          <cell r="K287">
            <v>-2024610</v>
          </cell>
        </row>
        <row r="288">
          <cell r="A288">
            <v>281</v>
          </cell>
          <cell r="B288">
            <v>35859</v>
          </cell>
          <cell r="C288" t="str">
            <v>夜食代</v>
          </cell>
          <cell r="D288" t="str">
            <v>ローソン</v>
          </cell>
          <cell r="E288">
            <v>503</v>
          </cell>
          <cell r="F288" t="str">
            <v>福利厚生費</v>
          </cell>
          <cell r="G288">
            <v>100</v>
          </cell>
          <cell r="H288" t="str">
            <v>現金</v>
          </cell>
          <cell r="J288">
            <v>777</v>
          </cell>
          <cell r="K288">
            <v>-2025387</v>
          </cell>
        </row>
        <row r="289">
          <cell r="A289">
            <v>282</v>
          </cell>
          <cell r="B289">
            <v>35859</v>
          </cell>
          <cell r="C289" t="str">
            <v>亀ｺﾝ永田氏</v>
          </cell>
          <cell r="D289" t="str">
            <v>フレッシュネスバーガー</v>
          </cell>
          <cell r="E289">
            <v>535</v>
          </cell>
          <cell r="F289" t="str">
            <v>会議費</v>
          </cell>
          <cell r="G289">
            <v>100</v>
          </cell>
          <cell r="H289" t="str">
            <v>現金</v>
          </cell>
          <cell r="J289">
            <v>1197</v>
          </cell>
          <cell r="K289">
            <v>-2026584</v>
          </cell>
        </row>
        <row r="290">
          <cell r="A290">
            <v>283</v>
          </cell>
          <cell r="B290">
            <v>35860</v>
          </cell>
          <cell r="C290" t="str">
            <v>夜食代</v>
          </cell>
          <cell r="D290" t="str">
            <v>ローソン</v>
          </cell>
          <cell r="E290">
            <v>503</v>
          </cell>
          <cell r="F290" t="str">
            <v>福利厚生費</v>
          </cell>
          <cell r="G290">
            <v>100</v>
          </cell>
          <cell r="H290" t="str">
            <v>現金</v>
          </cell>
          <cell r="J290">
            <v>1305</v>
          </cell>
          <cell r="K290">
            <v>-2027889</v>
          </cell>
        </row>
        <row r="291">
          <cell r="A291">
            <v>284</v>
          </cell>
          <cell r="B291">
            <v>35860</v>
          </cell>
          <cell r="C291" t="str">
            <v>夜食代</v>
          </cell>
          <cell r="D291" t="str">
            <v>マクドナルド</v>
          </cell>
          <cell r="E291">
            <v>503</v>
          </cell>
          <cell r="F291" t="str">
            <v>福利厚生費</v>
          </cell>
          <cell r="G291">
            <v>100</v>
          </cell>
          <cell r="H291" t="str">
            <v>現金</v>
          </cell>
          <cell r="J291">
            <v>420</v>
          </cell>
          <cell r="K291">
            <v>-2028309</v>
          </cell>
        </row>
        <row r="292">
          <cell r="A292">
            <v>285</v>
          </cell>
          <cell r="B292">
            <v>35861</v>
          </cell>
          <cell r="C292" t="str">
            <v>亀ｺﾝ竹下氏</v>
          </cell>
          <cell r="D292" t="str">
            <v>ケンタッキー</v>
          </cell>
          <cell r="E292">
            <v>535</v>
          </cell>
          <cell r="F292" t="str">
            <v>会議費</v>
          </cell>
          <cell r="G292">
            <v>100</v>
          </cell>
          <cell r="H292" t="str">
            <v>現金</v>
          </cell>
          <cell r="J292">
            <v>1270</v>
          </cell>
          <cell r="K292">
            <v>-2029579</v>
          </cell>
        </row>
        <row r="293">
          <cell r="A293">
            <v>286</v>
          </cell>
          <cell r="B293">
            <v>35861</v>
          </cell>
          <cell r="C293" t="str">
            <v>日経新聞</v>
          </cell>
          <cell r="D293" t="str">
            <v>ローソン</v>
          </cell>
          <cell r="E293">
            <v>516</v>
          </cell>
          <cell r="F293" t="str">
            <v>図書研究費</v>
          </cell>
          <cell r="G293">
            <v>100</v>
          </cell>
          <cell r="H293" t="str">
            <v>現金</v>
          </cell>
          <cell r="J293">
            <v>130</v>
          </cell>
          <cell r="K293">
            <v>-2029709</v>
          </cell>
        </row>
        <row r="294">
          <cell r="A294">
            <v>287</v>
          </cell>
          <cell r="B294">
            <v>35861</v>
          </cell>
          <cell r="C294" t="str">
            <v>お茶代</v>
          </cell>
          <cell r="D294" t="str">
            <v>ローソン</v>
          </cell>
          <cell r="E294">
            <v>503</v>
          </cell>
          <cell r="F294" t="str">
            <v>福利厚生費</v>
          </cell>
          <cell r="G294">
            <v>100</v>
          </cell>
          <cell r="H294" t="str">
            <v>現金</v>
          </cell>
          <cell r="J294">
            <v>430</v>
          </cell>
          <cell r="K294">
            <v>-2030139</v>
          </cell>
        </row>
        <row r="295">
          <cell r="A295">
            <v>288</v>
          </cell>
          <cell r="B295">
            <v>35861</v>
          </cell>
          <cell r="C295" t="str">
            <v>コンピュータ関係</v>
          </cell>
          <cell r="D295" t="str">
            <v>ブックバーン</v>
          </cell>
          <cell r="E295">
            <v>516</v>
          </cell>
          <cell r="F295" t="str">
            <v>図書研究費</v>
          </cell>
          <cell r="G295">
            <v>100</v>
          </cell>
          <cell r="H295" t="str">
            <v>現金</v>
          </cell>
          <cell r="J295">
            <v>407</v>
          </cell>
          <cell r="K295">
            <v>-2030546</v>
          </cell>
        </row>
        <row r="296">
          <cell r="A296">
            <v>289</v>
          </cell>
          <cell r="B296">
            <v>35863</v>
          </cell>
          <cell r="C296" t="str">
            <v>亀ｺﾝ永田氏</v>
          </cell>
          <cell r="D296" t="str">
            <v>フレッシュネスバーガー</v>
          </cell>
          <cell r="E296">
            <v>535</v>
          </cell>
          <cell r="F296" t="str">
            <v>会議費</v>
          </cell>
          <cell r="G296">
            <v>100</v>
          </cell>
          <cell r="H296" t="str">
            <v>現金</v>
          </cell>
          <cell r="J296">
            <v>1008</v>
          </cell>
          <cell r="K296">
            <v>-2031554</v>
          </cell>
        </row>
        <row r="297">
          <cell r="A297">
            <v>290</v>
          </cell>
          <cell r="B297">
            <v>35863</v>
          </cell>
          <cell r="C297" t="str">
            <v>お茶代</v>
          </cell>
          <cell r="D297" t="str">
            <v>ファミリーマート</v>
          </cell>
          <cell r="E297">
            <v>503</v>
          </cell>
          <cell r="F297" t="str">
            <v>福利厚生費</v>
          </cell>
          <cell r="G297">
            <v>100</v>
          </cell>
          <cell r="H297" t="str">
            <v>現金</v>
          </cell>
          <cell r="J297">
            <v>533</v>
          </cell>
          <cell r="K297">
            <v>-2032087</v>
          </cell>
        </row>
        <row r="298">
          <cell r="A298">
            <v>291</v>
          </cell>
          <cell r="B298">
            <v>35863</v>
          </cell>
          <cell r="C298" t="str">
            <v>夜食代</v>
          </cell>
          <cell r="D298" t="str">
            <v>セイフー</v>
          </cell>
          <cell r="E298">
            <v>503</v>
          </cell>
          <cell r="F298" t="str">
            <v>福利厚生費</v>
          </cell>
          <cell r="G298">
            <v>100</v>
          </cell>
          <cell r="H298" t="str">
            <v>現金</v>
          </cell>
          <cell r="J298">
            <v>1454</v>
          </cell>
          <cell r="K298">
            <v>-2033541</v>
          </cell>
        </row>
        <row r="299">
          <cell r="A299">
            <v>292</v>
          </cell>
          <cell r="B299">
            <v>35864</v>
          </cell>
          <cell r="C299" t="str">
            <v>茶菓子代</v>
          </cell>
          <cell r="D299" t="str">
            <v>浅野屋</v>
          </cell>
          <cell r="E299">
            <v>503</v>
          </cell>
          <cell r="F299" t="str">
            <v>福利厚生費</v>
          </cell>
          <cell r="G299">
            <v>100</v>
          </cell>
          <cell r="H299" t="str">
            <v>現金</v>
          </cell>
          <cell r="J299">
            <v>590</v>
          </cell>
          <cell r="K299">
            <v>-2034131</v>
          </cell>
        </row>
        <row r="300">
          <cell r="A300">
            <v>293</v>
          </cell>
          <cell r="B300">
            <v>35864</v>
          </cell>
          <cell r="C300" t="str">
            <v>コンピュータ雑誌</v>
          </cell>
          <cell r="D300" t="str">
            <v>あおい書店</v>
          </cell>
          <cell r="E300">
            <v>516</v>
          </cell>
          <cell r="F300" t="str">
            <v>図書研究費</v>
          </cell>
          <cell r="G300">
            <v>100</v>
          </cell>
          <cell r="H300" t="str">
            <v>現金</v>
          </cell>
          <cell r="J300">
            <v>500</v>
          </cell>
          <cell r="K300">
            <v>-2034631</v>
          </cell>
        </row>
        <row r="301">
          <cell r="A301">
            <v>294</v>
          </cell>
          <cell r="B301">
            <v>35864</v>
          </cell>
          <cell r="C301" t="str">
            <v>お茶代</v>
          </cell>
          <cell r="D301" t="str">
            <v>サンクス</v>
          </cell>
          <cell r="E301">
            <v>503</v>
          </cell>
          <cell r="F301" t="str">
            <v>福利厚生費</v>
          </cell>
          <cell r="G301">
            <v>100</v>
          </cell>
          <cell r="H301" t="str">
            <v>現金</v>
          </cell>
          <cell r="J301">
            <v>246</v>
          </cell>
          <cell r="K301">
            <v>-2034877</v>
          </cell>
        </row>
        <row r="302">
          <cell r="A302">
            <v>295</v>
          </cell>
          <cell r="B302">
            <v>35865</v>
          </cell>
          <cell r="C302" t="str">
            <v>ＦＡＸ　ＡＩＴ宛て</v>
          </cell>
          <cell r="D302" t="str">
            <v>ファミリーマート</v>
          </cell>
          <cell r="E302">
            <v>523</v>
          </cell>
          <cell r="F302" t="str">
            <v>通信費</v>
          </cell>
          <cell r="G302">
            <v>100</v>
          </cell>
          <cell r="H302" t="str">
            <v>現金</v>
          </cell>
          <cell r="J302">
            <v>150</v>
          </cell>
          <cell r="K302">
            <v>-2035027</v>
          </cell>
        </row>
        <row r="303">
          <cell r="A303">
            <v>296</v>
          </cell>
          <cell r="B303">
            <v>35865</v>
          </cell>
          <cell r="C303" t="str">
            <v>山口氏</v>
          </cell>
          <cell r="D303" t="str">
            <v>ピアチューレ</v>
          </cell>
          <cell r="E303">
            <v>535</v>
          </cell>
          <cell r="F303" t="str">
            <v>会議費</v>
          </cell>
          <cell r="G303">
            <v>100</v>
          </cell>
          <cell r="H303" t="str">
            <v>現金</v>
          </cell>
          <cell r="J303">
            <v>4641</v>
          </cell>
          <cell r="K303">
            <v>-2039668</v>
          </cell>
        </row>
        <row r="304">
          <cell r="A304">
            <v>297</v>
          </cell>
          <cell r="B304">
            <v>35865</v>
          </cell>
          <cell r="C304" t="str">
            <v>茶菓子代</v>
          </cell>
          <cell r="D304" t="str">
            <v>丸正</v>
          </cell>
          <cell r="E304">
            <v>503</v>
          </cell>
          <cell r="F304" t="str">
            <v>福利厚生費</v>
          </cell>
          <cell r="G304">
            <v>100</v>
          </cell>
          <cell r="H304" t="str">
            <v>現金</v>
          </cell>
          <cell r="J304">
            <v>717</v>
          </cell>
          <cell r="K304">
            <v>-2040385</v>
          </cell>
        </row>
        <row r="305">
          <cell r="A305">
            <v>298</v>
          </cell>
          <cell r="B305">
            <v>35865</v>
          </cell>
          <cell r="C305" t="str">
            <v>夜食代</v>
          </cell>
          <cell r="D305" t="str">
            <v>セイフー</v>
          </cell>
          <cell r="E305">
            <v>503</v>
          </cell>
          <cell r="F305" t="str">
            <v>福利厚生費</v>
          </cell>
          <cell r="G305">
            <v>100</v>
          </cell>
          <cell r="H305" t="str">
            <v>現金</v>
          </cell>
          <cell r="J305">
            <v>1704</v>
          </cell>
          <cell r="K305">
            <v>-2042089</v>
          </cell>
        </row>
        <row r="306">
          <cell r="A306">
            <v>299</v>
          </cell>
          <cell r="B306">
            <v>35866</v>
          </cell>
          <cell r="C306" t="str">
            <v>FAX ビ・アーム宛て</v>
          </cell>
          <cell r="D306" t="str">
            <v>ファミリーマート</v>
          </cell>
          <cell r="E306">
            <v>523</v>
          </cell>
          <cell r="F306" t="str">
            <v>通信費</v>
          </cell>
          <cell r="G306">
            <v>100</v>
          </cell>
          <cell r="H306" t="str">
            <v>現金</v>
          </cell>
          <cell r="J306">
            <v>150</v>
          </cell>
          <cell r="K306">
            <v>-2042239</v>
          </cell>
        </row>
        <row r="307">
          <cell r="A307">
            <v>300</v>
          </cell>
          <cell r="B307">
            <v>35866</v>
          </cell>
          <cell r="C307" t="str">
            <v>茶菓子代</v>
          </cell>
          <cell r="D307" t="str">
            <v>ミスタードーナッツ</v>
          </cell>
          <cell r="E307">
            <v>503</v>
          </cell>
          <cell r="F307" t="str">
            <v>福利厚生費</v>
          </cell>
          <cell r="G307">
            <v>100</v>
          </cell>
          <cell r="H307" t="str">
            <v>現金</v>
          </cell>
          <cell r="J307">
            <v>819</v>
          </cell>
          <cell r="K307">
            <v>-2043058</v>
          </cell>
        </row>
        <row r="308">
          <cell r="A308">
            <v>301</v>
          </cell>
          <cell r="B308">
            <v>35866</v>
          </cell>
          <cell r="C308" t="str">
            <v>ＦＡＸ　ＡＩＴ宛て</v>
          </cell>
          <cell r="D308" t="str">
            <v>ファミリーマート</v>
          </cell>
          <cell r="E308">
            <v>523</v>
          </cell>
          <cell r="F308" t="str">
            <v>通信費</v>
          </cell>
          <cell r="G308">
            <v>100</v>
          </cell>
          <cell r="H308" t="str">
            <v>現金</v>
          </cell>
          <cell r="J308">
            <v>400</v>
          </cell>
          <cell r="K308">
            <v>-2043458</v>
          </cell>
        </row>
        <row r="309">
          <cell r="A309">
            <v>302</v>
          </cell>
          <cell r="B309">
            <v>35866</v>
          </cell>
          <cell r="C309" t="str">
            <v>ボールペン</v>
          </cell>
          <cell r="D309" t="str">
            <v>三友社</v>
          </cell>
          <cell r="E309">
            <v>524</v>
          </cell>
          <cell r="F309" t="str">
            <v>事務消耗品費</v>
          </cell>
          <cell r="G309">
            <v>100</v>
          </cell>
          <cell r="H309" t="str">
            <v>現金</v>
          </cell>
          <cell r="J309">
            <v>100</v>
          </cell>
          <cell r="K309">
            <v>-2043558</v>
          </cell>
        </row>
        <row r="310">
          <cell r="A310">
            <v>303</v>
          </cell>
          <cell r="B310">
            <v>35867</v>
          </cell>
          <cell r="C310" t="str">
            <v>お茶代</v>
          </cell>
          <cell r="D310" t="str">
            <v>ローソン</v>
          </cell>
          <cell r="E310">
            <v>503</v>
          </cell>
          <cell r="F310" t="str">
            <v>福利厚生費</v>
          </cell>
          <cell r="G310">
            <v>100</v>
          </cell>
          <cell r="H310" t="str">
            <v>現金</v>
          </cell>
          <cell r="J310">
            <v>386</v>
          </cell>
          <cell r="K310">
            <v>-2043944</v>
          </cell>
        </row>
        <row r="311">
          <cell r="A311">
            <v>304</v>
          </cell>
          <cell r="B311">
            <v>35867</v>
          </cell>
          <cell r="C311" t="str">
            <v>夜食代</v>
          </cell>
          <cell r="D311" t="str">
            <v>茶月</v>
          </cell>
          <cell r="E311">
            <v>503</v>
          </cell>
          <cell r="F311" t="str">
            <v>福利厚生費</v>
          </cell>
          <cell r="G311">
            <v>100</v>
          </cell>
          <cell r="H311" t="str">
            <v>現金</v>
          </cell>
          <cell r="J311">
            <v>2100</v>
          </cell>
          <cell r="K311">
            <v>-2046044</v>
          </cell>
        </row>
        <row r="312">
          <cell r="A312">
            <v>305</v>
          </cell>
          <cell r="B312">
            <v>35867</v>
          </cell>
          <cell r="C312" t="str">
            <v>夜食代</v>
          </cell>
          <cell r="D312" t="str">
            <v>セイフー</v>
          </cell>
          <cell r="E312">
            <v>503</v>
          </cell>
          <cell r="F312" t="str">
            <v>福利厚生費</v>
          </cell>
          <cell r="G312">
            <v>100</v>
          </cell>
          <cell r="H312" t="str">
            <v>現金</v>
          </cell>
          <cell r="J312">
            <v>304</v>
          </cell>
          <cell r="K312">
            <v>-2046348</v>
          </cell>
        </row>
        <row r="313">
          <cell r="A313">
            <v>306</v>
          </cell>
          <cell r="B313">
            <v>35867</v>
          </cell>
          <cell r="C313" t="str">
            <v>夜食代</v>
          </cell>
          <cell r="D313" t="str">
            <v>コミュニティ・ストア</v>
          </cell>
          <cell r="E313">
            <v>503</v>
          </cell>
          <cell r="F313" t="str">
            <v>福利厚生費</v>
          </cell>
          <cell r="G313">
            <v>100</v>
          </cell>
          <cell r="H313" t="str">
            <v>現金</v>
          </cell>
          <cell r="J313">
            <v>394</v>
          </cell>
          <cell r="K313">
            <v>-2046742</v>
          </cell>
        </row>
        <row r="314">
          <cell r="A314">
            <v>307</v>
          </cell>
          <cell r="B314">
            <v>35868</v>
          </cell>
          <cell r="C314" t="str">
            <v>お茶代</v>
          </cell>
          <cell r="D314" t="str">
            <v>am pm</v>
          </cell>
          <cell r="E314">
            <v>503</v>
          </cell>
          <cell r="F314" t="str">
            <v>福利厚生費</v>
          </cell>
          <cell r="G314">
            <v>100</v>
          </cell>
          <cell r="H314" t="str">
            <v>現金</v>
          </cell>
          <cell r="J314">
            <v>315</v>
          </cell>
          <cell r="K314">
            <v>-2047057</v>
          </cell>
        </row>
        <row r="315">
          <cell r="A315">
            <v>308</v>
          </cell>
          <cell r="B315">
            <v>35868</v>
          </cell>
          <cell r="C315" t="str">
            <v>亀コン竹下氏</v>
          </cell>
          <cell r="D315" t="str">
            <v>SUBWAY</v>
          </cell>
          <cell r="E315">
            <v>535</v>
          </cell>
          <cell r="F315" t="str">
            <v>会議費</v>
          </cell>
          <cell r="G315">
            <v>100</v>
          </cell>
          <cell r="H315" t="str">
            <v>現金</v>
          </cell>
          <cell r="J315">
            <v>1837</v>
          </cell>
          <cell r="K315">
            <v>-2048894</v>
          </cell>
        </row>
        <row r="316">
          <cell r="A316">
            <v>309</v>
          </cell>
          <cell r="B316">
            <v>35869</v>
          </cell>
          <cell r="C316" t="str">
            <v>亀コン永田氏</v>
          </cell>
          <cell r="D316" t="str">
            <v>Denny's</v>
          </cell>
          <cell r="E316">
            <v>535</v>
          </cell>
          <cell r="F316" t="str">
            <v>会議費</v>
          </cell>
          <cell r="G316">
            <v>100</v>
          </cell>
          <cell r="H316" t="str">
            <v>現金</v>
          </cell>
          <cell r="J316">
            <v>3488</v>
          </cell>
          <cell r="K316">
            <v>-2052382</v>
          </cell>
        </row>
        <row r="317">
          <cell r="A317">
            <v>310</v>
          </cell>
          <cell r="B317">
            <v>35869</v>
          </cell>
          <cell r="C317" t="str">
            <v>お菓子代</v>
          </cell>
          <cell r="D317" t="str">
            <v>ローソン</v>
          </cell>
          <cell r="E317">
            <v>503</v>
          </cell>
          <cell r="F317" t="str">
            <v>福利厚生費</v>
          </cell>
          <cell r="G317">
            <v>100</v>
          </cell>
          <cell r="H317" t="str">
            <v>現金</v>
          </cell>
          <cell r="J317">
            <v>606</v>
          </cell>
          <cell r="K317">
            <v>-2052988</v>
          </cell>
        </row>
        <row r="318">
          <cell r="A318">
            <v>311</v>
          </cell>
          <cell r="B318">
            <v>35869</v>
          </cell>
          <cell r="C318" t="str">
            <v>夜食代</v>
          </cell>
          <cell r="D318" t="str">
            <v>オリジン弁当</v>
          </cell>
          <cell r="E318">
            <v>503</v>
          </cell>
          <cell r="F318" t="str">
            <v>福利厚生費</v>
          </cell>
          <cell r="G318">
            <v>100</v>
          </cell>
          <cell r="H318" t="str">
            <v>現金</v>
          </cell>
          <cell r="J318">
            <v>1354</v>
          </cell>
          <cell r="K318">
            <v>-2054342</v>
          </cell>
        </row>
        <row r="319">
          <cell r="A319">
            <v>312</v>
          </cell>
          <cell r="B319">
            <v>35870</v>
          </cell>
          <cell r="C319" t="str">
            <v>亀コン永田氏</v>
          </cell>
          <cell r="D319" t="str">
            <v>Denny's</v>
          </cell>
          <cell r="E319">
            <v>535</v>
          </cell>
          <cell r="F319" t="str">
            <v>会議費</v>
          </cell>
          <cell r="G319">
            <v>100</v>
          </cell>
          <cell r="H319" t="str">
            <v>現金</v>
          </cell>
          <cell r="J319">
            <v>2968</v>
          </cell>
          <cell r="K319">
            <v>-2057310</v>
          </cell>
        </row>
        <row r="320">
          <cell r="A320">
            <v>313</v>
          </cell>
          <cell r="B320">
            <v>35870</v>
          </cell>
          <cell r="C320" t="str">
            <v>亀コン永田氏</v>
          </cell>
          <cell r="E320">
            <v>535</v>
          </cell>
          <cell r="F320" t="str">
            <v>会議費</v>
          </cell>
          <cell r="G320">
            <v>100</v>
          </cell>
          <cell r="H320" t="str">
            <v>現金</v>
          </cell>
          <cell r="J320">
            <v>2142</v>
          </cell>
          <cell r="K320">
            <v>-2059452</v>
          </cell>
        </row>
        <row r="321">
          <cell r="A321">
            <v>314</v>
          </cell>
          <cell r="B321">
            <v>35870</v>
          </cell>
          <cell r="C321" t="str">
            <v>電話代</v>
          </cell>
          <cell r="D321" t="str">
            <v>日本テレコム</v>
          </cell>
          <cell r="E321">
            <v>523</v>
          </cell>
          <cell r="F321" t="str">
            <v>通信費</v>
          </cell>
          <cell r="G321">
            <v>114</v>
          </cell>
          <cell r="H321" t="str">
            <v>普通預金</v>
          </cell>
          <cell r="J321">
            <v>399</v>
          </cell>
          <cell r="K321">
            <v>-2059851</v>
          </cell>
        </row>
        <row r="322">
          <cell r="A322">
            <v>315</v>
          </cell>
          <cell r="B322">
            <v>35871</v>
          </cell>
          <cell r="C322" t="str">
            <v>亀コン竹下氏</v>
          </cell>
          <cell r="D322" t="str">
            <v>RAKERU</v>
          </cell>
          <cell r="E322">
            <v>535</v>
          </cell>
          <cell r="F322" t="str">
            <v>会議費</v>
          </cell>
          <cell r="G322">
            <v>100</v>
          </cell>
          <cell r="H322" t="str">
            <v>現金</v>
          </cell>
          <cell r="J322">
            <v>2194</v>
          </cell>
          <cell r="K322">
            <v>-2062045</v>
          </cell>
        </row>
        <row r="323">
          <cell r="A323">
            <v>316</v>
          </cell>
          <cell r="B323">
            <v>35871</v>
          </cell>
          <cell r="C323" t="str">
            <v>亀コン竹下氏・霞氏</v>
          </cell>
          <cell r="D323" t="str">
            <v>ﾊﾅｺｳｼﾞ</v>
          </cell>
          <cell r="E323">
            <v>535</v>
          </cell>
          <cell r="F323" t="str">
            <v>会議費</v>
          </cell>
          <cell r="G323">
            <v>100</v>
          </cell>
          <cell r="H323" t="str">
            <v>現金</v>
          </cell>
          <cell r="J323">
            <v>1113</v>
          </cell>
          <cell r="K323">
            <v>-2063158</v>
          </cell>
        </row>
        <row r="324">
          <cell r="A324">
            <v>317</v>
          </cell>
          <cell r="B324">
            <v>35871</v>
          </cell>
          <cell r="C324" t="str">
            <v>夜食代</v>
          </cell>
          <cell r="D324" t="str">
            <v>セイフー</v>
          </cell>
          <cell r="E324">
            <v>503</v>
          </cell>
          <cell r="F324" t="str">
            <v>福利厚生費</v>
          </cell>
          <cell r="G324">
            <v>100</v>
          </cell>
          <cell r="H324" t="str">
            <v>現金</v>
          </cell>
          <cell r="J324">
            <v>877</v>
          </cell>
          <cell r="K324">
            <v>-2064035</v>
          </cell>
        </row>
        <row r="325">
          <cell r="A325">
            <v>318</v>
          </cell>
          <cell r="B325">
            <v>35872</v>
          </cell>
          <cell r="C325" t="str">
            <v>夜食代</v>
          </cell>
          <cell r="D325" t="str">
            <v>セイフー</v>
          </cell>
          <cell r="E325">
            <v>503</v>
          </cell>
          <cell r="F325" t="str">
            <v>福利厚生費</v>
          </cell>
          <cell r="G325">
            <v>100</v>
          </cell>
          <cell r="H325" t="str">
            <v>現金</v>
          </cell>
          <cell r="J325">
            <v>1471</v>
          </cell>
          <cell r="K325">
            <v>-2065506</v>
          </cell>
        </row>
        <row r="326">
          <cell r="A326">
            <v>319</v>
          </cell>
          <cell r="B326">
            <v>35873</v>
          </cell>
          <cell r="C326" t="str">
            <v>コンピュータ関係</v>
          </cell>
          <cell r="D326" t="str">
            <v>あおい書店</v>
          </cell>
          <cell r="E326">
            <v>516</v>
          </cell>
          <cell r="F326" t="str">
            <v>図書研究費</v>
          </cell>
          <cell r="G326">
            <v>100</v>
          </cell>
          <cell r="H326" t="str">
            <v>現金</v>
          </cell>
          <cell r="J326">
            <v>1365</v>
          </cell>
          <cell r="K326">
            <v>-2066871</v>
          </cell>
        </row>
        <row r="327">
          <cell r="A327">
            <v>320</v>
          </cell>
          <cell r="B327">
            <v>35873</v>
          </cell>
          <cell r="C327" t="str">
            <v>夜食代</v>
          </cell>
          <cell r="D327" t="str">
            <v>オリジン弁当</v>
          </cell>
          <cell r="E327">
            <v>503</v>
          </cell>
          <cell r="F327" t="str">
            <v>福利厚生費</v>
          </cell>
          <cell r="G327">
            <v>100</v>
          </cell>
          <cell r="H327" t="str">
            <v>現金</v>
          </cell>
          <cell r="J327">
            <v>470</v>
          </cell>
          <cell r="K327">
            <v>-2067341</v>
          </cell>
        </row>
        <row r="328">
          <cell r="A328">
            <v>321</v>
          </cell>
          <cell r="B328">
            <v>35874</v>
          </cell>
          <cell r="C328" t="str">
            <v>夜食代</v>
          </cell>
          <cell r="D328" t="str">
            <v>サクライ</v>
          </cell>
          <cell r="E328">
            <v>503</v>
          </cell>
          <cell r="F328" t="str">
            <v>福利厚生費</v>
          </cell>
          <cell r="G328">
            <v>100</v>
          </cell>
          <cell r="H328" t="str">
            <v>現金</v>
          </cell>
          <cell r="J328">
            <v>946</v>
          </cell>
          <cell r="K328">
            <v>-2068287</v>
          </cell>
        </row>
        <row r="329">
          <cell r="A329">
            <v>322</v>
          </cell>
          <cell r="B329">
            <v>35875</v>
          </cell>
          <cell r="C329" t="str">
            <v>亀コン永田氏</v>
          </cell>
          <cell r="D329" t="str">
            <v>フレッシュネスバーガー</v>
          </cell>
          <cell r="E329">
            <v>535</v>
          </cell>
          <cell r="F329" t="str">
            <v>会議費</v>
          </cell>
          <cell r="G329">
            <v>100</v>
          </cell>
          <cell r="H329" t="str">
            <v>現金</v>
          </cell>
          <cell r="J329">
            <v>1176</v>
          </cell>
          <cell r="K329">
            <v>-2069463</v>
          </cell>
        </row>
        <row r="330">
          <cell r="A330">
            <v>323</v>
          </cell>
          <cell r="B330">
            <v>35875</v>
          </cell>
          <cell r="C330" t="str">
            <v>お茶代</v>
          </cell>
          <cell r="D330" t="str">
            <v>サンクス</v>
          </cell>
          <cell r="E330">
            <v>503</v>
          </cell>
          <cell r="F330" t="str">
            <v>福利厚生費</v>
          </cell>
          <cell r="G330">
            <v>100</v>
          </cell>
          <cell r="H330" t="str">
            <v>現金</v>
          </cell>
          <cell r="J330">
            <v>129</v>
          </cell>
          <cell r="K330">
            <v>-2069592</v>
          </cell>
        </row>
        <row r="331">
          <cell r="A331">
            <v>324</v>
          </cell>
          <cell r="B331">
            <v>35876</v>
          </cell>
          <cell r="C331" t="str">
            <v>亀コン永田氏</v>
          </cell>
          <cell r="D331" t="str">
            <v>フレッシュネスバーガー</v>
          </cell>
          <cell r="E331">
            <v>535</v>
          </cell>
          <cell r="F331" t="str">
            <v>会議費</v>
          </cell>
          <cell r="G331">
            <v>100</v>
          </cell>
          <cell r="H331" t="str">
            <v>現金</v>
          </cell>
          <cell r="J331">
            <v>504</v>
          </cell>
          <cell r="K331">
            <v>-2070096</v>
          </cell>
        </row>
        <row r="332">
          <cell r="A332">
            <v>325</v>
          </cell>
          <cell r="B332">
            <v>35876</v>
          </cell>
          <cell r="C332" t="str">
            <v>夜食代</v>
          </cell>
          <cell r="D332" t="str">
            <v>ローソン</v>
          </cell>
          <cell r="E332">
            <v>503</v>
          </cell>
          <cell r="F332" t="str">
            <v>福利厚生費</v>
          </cell>
          <cell r="G332">
            <v>100</v>
          </cell>
          <cell r="H332" t="str">
            <v>現金</v>
          </cell>
          <cell r="J332">
            <v>3208</v>
          </cell>
          <cell r="K332">
            <v>-2073304</v>
          </cell>
        </row>
        <row r="333">
          <cell r="A333">
            <v>326</v>
          </cell>
          <cell r="B333">
            <v>35876</v>
          </cell>
          <cell r="C333" t="str">
            <v>コンピュータ関係</v>
          </cell>
          <cell r="D333" t="str">
            <v>ローソン</v>
          </cell>
          <cell r="E333">
            <v>516</v>
          </cell>
          <cell r="F333" t="str">
            <v>図書研究費</v>
          </cell>
          <cell r="G333">
            <v>100</v>
          </cell>
          <cell r="H333" t="str">
            <v>現金</v>
          </cell>
          <cell r="J333">
            <v>250</v>
          </cell>
          <cell r="K333">
            <v>-2073554</v>
          </cell>
        </row>
        <row r="334">
          <cell r="A334">
            <v>327</v>
          </cell>
          <cell r="B334">
            <v>35876</v>
          </cell>
          <cell r="C334" t="str">
            <v>夜食代</v>
          </cell>
          <cell r="D334" t="str">
            <v>茶月</v>
          </cell>
          <cell r="E334">
            <v>503</v>
          </cell>
          <cell r="F334" t="str">
            <v>福利厚生費</v>
          </cell>
          <cell r="G334">
            <v>100</v>
          </cell>
          <cell r="H334" t="str">
            <v>現金</v>
          </cell>
          <cell r="J334">
            <v>1575</v>
          </cell>
          <cell r="K334">
            <v>-2075129</v>
          </cell>
        </row>
        <row r="335">
          <cell r="A335">
            <v>328</v>
          </cell>
          <cell r="B335">
            <v>35876</v>
          </cell>
          <cell r="C335" t="str">
            <v>お茶代</v>
          </cell>
          <cell r="D335" t="str">
            <v>ローソン</v>
          </cell>
          <cell r="E335">
            <v>503</v>
          </cell>
          <cell r="F335" t="str">
            <v>福利厚生費</v>
          </cell>
          <cell r="G335">
            <v>100</v>
          </cell>
          <cell r="H335" t="str">
            <v>現金</v>
          </cell>
          <cell r="J335">
            <v>606</v>
          </cell>
          <cell r="K335">
            <v>-2075735</v>
          </cell>
        </row>
        <row r="336">
          <cell r="A336">
            <v>329</v>
          </cell>
          <cell r="B336">
            <v>35876</v>
          </cell>
          <cell r="C336" t="str">
            <v>コンピュータ誌</v>
          </cell>
          <cell r="D336" t="str">
            <v>オーブックス</v>
          </cell>
          <cell r="E336">
            <v>516</v>
          </cell>
          <cell r="F336" t="str">
            <v>図書研究費</v>
          </cell>
          <cell r="G336">
            <v>100</v>
          </cell>
          <cell r="H336" t="str">
            <v>現金</v>
          </cell>
          <cell r="J336">
            <v>1020</v>
          </cell>
          <cell r="K336">
            <v>-2076755</v>
          </cell>
        </row>
        <row r="337">
          <cell r="A337">
            <v>330</v>
          </cell>
          <cell r="B337">
            <v>35877</v>
          </cell>
          <cell r="C337" t="str">
            <v>夜食代</v>
          </cell>
          <cell r="D337" t="str">
            <v>丸正</v>
          </cell>
          <cell r="E337">
            <v>503</v>
          </cell>
          <cell r="F337" t="str">
            <v>福利厚生費</v>
          </cell>
          <cell r="G337">
            <v>100</v>
          </cell>
          <cell r="H337" t="str">
            <v>現金</v>
          </cell>
          <cell r="J337">
            <v>1409</v>
          </cell>
          <cell r="K337">
            <v>-2078164</v>
          </cell>
        </row>
        <row r="338">
          <cell r="A338">
            <v>331</v>
          </cell>
          <cell r="B338">
            <v>35877</v>
          </cell>
          <cell r="C338" t="str">
            <v>夜食代</v>
          </cell>
          <cell r="D338" t="str">
            <v>セイフー</v>
          </cell>
          <cell r="E338">
            <v>503</v>
          </cell>
          <cell r="F338" t="str">
            <v>福利厚生費</v>
          </cell>
          <cell r="G338">
            <v>100</v>
          </cell>
          <cell r="H338" t="str">
            <v>現金</v>
          </cell>
          <cell r="J338">
            <v>543</v>
          </cell>
          <cell r="K338">
            <v>-2078707</v>
          </cell>
        </row>
        <row r="339">
          <cell r="A339">
            <v>332</v>
          </cell>
          <cell r="B339">
            <v>35878</v>
          </cell>
          <cell r="C339" t="str">
            <v>お菓子代</v>
          </cell>
          <cell r="D339" t="str">
            <v>セブンイレブン</v>
          </cell>
          <cell r="E339">
            <v>503</v>
          </cell>
          <cell r="F339" t="str">
            <v>福利厚生費</v>
          </cell>
          <cell r="G339">
            <v>100</v>
          </cell>
          <cell r="H339" t="str">
            <v>現金</v>
          </cell>
          <cell r="J339">
            <v>152</v>
          </cell>
          <cell r="K339">
            <v>-2078859</v>
          </cell>
        </row>
        <row r="340">
          <cell r="A340">
            <v>333</v>
          </cell>
          <cell r="B340">
            <v>35879</v>
          </cell>
          <cell r="C340" t="str">
            <v>お菓子代</v>
          </cell>
          <cell r="D340" t="str">
            <v>セブンイレブン</v>
          </cell>
          <cell r="E340">
            <v>503</v>
          </cell>
          <cell r="F340" t="str">
            <v>福利厚生費</v>
          </cell>
          <cell r="G340">
            <v>100</v>
          </cell>
          <cell r="H340" t="str">
            <v>現金</v>
          </cell>
          <cell r="J340">
            <v>102</v>
          </cell>
          <cell r="K340">
            <v>-2078961</v>
          </cell>
        </row>
        <row r="341">
          <cell r="A341">
            <v>334</v>
          </cell>
          <cell r="B341">
            <v>35879</v>
          </cell>
          <cell r="C341" t="str">
            <v>亀コン霞氏</v>
          </cell>
          <cell r="D341" t="str">
            <v>ＹＯＫＯ</v>
          </cell>
          <cell r="E341">
            <v>535</v>
          </cell>
          <cell r="F341" t="str">
            <v>会議費</v>
          </cell>
          <cell r="G341">
            <v>100</v>
          </cell>
          <cell r="H341" t="str">
            <v>現金</v>
          </cell>
          <cell r="J341">
            <v>1155</v>
          </cell>
          <cell r="K341">
            <v>-2080116</v>
          </cell>
        </row>
        <row r="342">
          <cell r="A342">
            <v>335</v>
          </cell>
          <cell r="B342">
            <v>35879</v>
          </cell>
          <cell r="C342" t="str">
            <v>切手代</v>
          </cell>
          <cell r="D342" t="str">
            <v>am pm</v>
          </cell>
          <cell r="E342">
            <v>523</v>
          </cell>
          <cell r="F342" t="str">
            <v>通信費</v>
          </cell>
          <cell r="G342">
            <v>100</v>
          </cell>
          <cell r="H342" t="str">
            <v>現金</v>
          </cell>
          <cell r="J342">
            <v>500</v>
          </cell>
          <cell r="K342">
            <v>-2080616</v>
          </cell>
        </row>
        <row r="343">
          <cell r="A343">
            <v>336</v>
          </cell>
          <cell r="B343">
            <v>35879</v>
          </cell>
          <cell r="C343" t="str">
            <v>お茶代</v>
          </cell>
          <cell r="D343" t="str">
            <v>am pm</v>
          </cell>
          <cell r="E343">
            <v>503</v>
          </cell>
          <cell r="F343" t="str">
            <v>福利厚生費</v>
          </cell>
          <cell r="G343">
            <v>100</v>
          </cell>
          <cell r="H343" t="str">
            <v>現金</v>
          </cell>
          <cell r="J343">
            <v>483</v>
          </cell>
          <cell r="K343">
            <v>-2081099</v>
          </cell>
        </row>
        <row r="344">
          <cell r="A344">
            <v>337</v>
          </cell>
          <cell r="B344">
            <v>35880</v>
          </cell>
          <cell r="C344" t="str">
            <v>電話代</v>
          </cell>
          <cell r="D344" t="str">
            <v>ＤＤＩポケット</v>
          </cell>
          <cell r="E344">
            <v>523</v>
          </cell>
          <cell r="F344" t="str">
            <v>通信費</v>
          </cell>
          <cell r="G344">
            <v>114</v>
          </cell>
          <cell r="H344" t="str">
            <v>普通預金</v>
          </cell>
          <cell r="J344">
            <v>5491</v>
          </cell>
          <cell r="K344">
            <v>-2086590</v>
          </cell>
        </row>
        <row r="345">
          <cell r="A345">
            <v>338</v>
          </cell>
          <cell r="B345">
            <v>35880</v>
          </cell>
          <cell r="C345" t="str">
            <v>コピー代</v>
          </cell>
          <cell r="D345" t="str">
            <v>Kinko's</v>
          </cell>
          <cell r="E345">
            <v>524</v>
          </cell>
          <cell r="F345" t="str">
            <v>事務消耗品費</v>
          </cell>
          <cell r="G345">
            <v>100</v>
          </cell>
          <cell r="H345" t="str">
            <v>現金</v>
          </cell>
          <cell r="J345">
            <v>84</v>
          </cell>
          <cell r="K345">
            <v>-2086674</v>
          </cell>
        </row>
        <row r="346">
          <cell r="A346">
            <v>339</v>
          </cell>
          <cell r="B346">
            <v>35880</v>
          </cell>
          <cell r="C346" t="str">
            <v>お菓子代</v>
          </cell>
          <cell r="D346" t="str">
            <v>丸正</v>
          </cell>
          <cell r="E346">
            <v>503</v>
          </cell>
          <cell r="F346" t="str">
            <v>福利厚生費</v>
          </cell>
          <cell r="G346">
            <v>100</v>
          </cell>
          <cell r="H346" t="str">
            <v>現金</v>
          </cell>
          <cell r="J346">
            <v>270</v>
          </cell>
          <cell r="K346">
            <v>-2086944</v>
          </cell>
        </row>
        <row r="347">
          <cell r="A347">
            <v>340</v>
          </cell>
          <cell r="B347">
            <v>35880</v>
          </cell>
          <cell r="C347" t="str">
            <v>お茶代</v>
          </cell>
          <cell r="D347" t="str">
            <v>セブンイレブン</v>
          </cell>
          <cell r="E347">
            <v>503</v>
          </cell>
          <cell r="F347" t="str">
            <v>福利厚生費</v>
          </cell>
          <cell r="G347">
            <v>100</v>
          </cell>
          <cell r="H347" t="str">
            <v>現金</v>
          </cell>
          <cell r="J347">
            <v>228</v>
          </cell>
          <cell r="K347">
            <v>-2087172</v>
          </cell>
        </row>
        <row r="348">
          <cell r="A348">
            <v>341</v>
          </cell>
          <cell r="B348">
            <v>35880</v>
          </cell>
          <cell r="C348" t="str">
            <v>家賃代</v>
          </cell>
          <cell r="D348" t="str">
            <v>大塚刷毛製造（株）</v>
          </cell>
          <cell r="E348">
            <v>528</v>
          </cell>
          <cell r="F348" t="str">
            <v>地代・家賃</v>
          </cell>
          <cell r="G348">
            <v>100</v>
          </cell>
          <cell r="H348" t="str">
            <v>現金</v>
          </cell>
          <cell r="J348">
            <v>89000</v>
          </cell>
          <cell r="K348">
            <v>-2176172</v>
          </cell>
        </row>
        <row r="349">
          <cell r="A349">
            <v>342</v>
          </cell>
          <cell r="B349">
            <v>35881</v>
          </cell>
          <cell r="C349" t="str">
            <v>夜食代</v>
          </cell>
          <cell r="D349" t="str">
            <v>丸正</v>
          </cell>
          <cell r="E349">
            <v>503</v>
          </cell>
          <cell r="F349" t="str">
            <v>福利厚生費</v>
          </cell>
          <cell r="G349">
            <v>100</v>
          </cell>
          <cell r="H349" t="str">
            <v>現金</v>
          </cell>
          <cell r="J349">
            <v>3011</v>
          </cell>
          <cell r="K349">
            <v>-2179183</v>
          </cell>
        </row>
        <row r="350">
          <cell r="A350">
            <v>343</v>
          </cell>
          <cell r="B350">
            <v>35881</v>
          </cell>
          <cell r="C350" t="str">
            <v>台所洗剤</v>
          </cell>
          <cell r="D350" t="str">
            <v>BIG.1</v>
          </cell>
          <cell r="E350">
            <v>525</v>
          </cell>
          <cell r="F350" t="str">
            <v>消耗品費</v>
          </cell>
          <cell r="G350">
            <v>100</v>
          </cell>
          <cell r="H350" t="str">
            <v>現金</v>
          </cell>
          <cell r="J350">
            <v>84</v>
          </cell>
          <cell r="K350">
            <v>-2179267</v>
          </cell>
        </row>
        <row r="351">
          <cell r="A351">
            <v>344</v>
          </cell>
          <cell r="B351">
            <v>35881</v>
          </cell>
          <cell r="C351" t="str">
            <v>ＦＡＸ代　JICST宛て</v>
          </cell>
          <cell r="D351" t="str">
            <v>ローソン</v>
          </cell>
          <cell r="E351">
            <v>523</v>
          </cell>
          <cell r="F351" t="str">
            <v>通信費</v>
          </cell>
          <cell r="G351">
            <v>100</v>
          </cell>
          <cell r="H351" t="str">
            <v>現金</v>
          </cell>
          <cell r="J351">
            <v>150</v>
          </cell>
          <cell r="K351">
            <v>-2179417</v>
          </cell>
        </row>
        <row r="352">
          <cell r="A352">
            <v>345</v>
          </cell>
          <cell r="B352">
            <v>35882</v>
          </cell>
          <cell r="C352" t="str">
            <v>経営関係</v>
          </cell>
          <cell r="D352" t="str">
            <v>八重洲ブックセンター</v>
          </cell>
          <cell r="E352">
            <v>516</v>
          </cell>
          <cell r="F352" t="str">
            <v>図書研究費</v>
          </cell>
          <cell r="G352">
            <v>100</v>
          </cell>
          <cell r="H352" t="str">
            <v>現金</v>
          </cell>
          <cell r="J352">
            <v>599</v>
          </cell>
          <cell r="K352">
            <v>-2180016</v>
          </cell>
        </row>
        <row r="353">
          <cell r="A353">
            <v>346</v>
          </cell>
          <cell r="B353">
            <v>35882</v>
          </cell>
          <cell r="C353" t="str">
            <v>夜食代</v>
          </cell>
          <cell r="D353" t="str">
            <v>丸正</v>
          </cell>
          <cell r="E353">
            <v>503</v>
          </cell>
          <cell r="F353" t="str">
            <v>福利厚生費</v>
          </cell>
          <cell r="G353">
            <v>100</v>
          </cell>
          <cell r="H353" t="str">
            <v>現金</v>
          </cell>
          <cell r="J353">
            <v>1726</v>
          </cell>
          <cell r="K353">
            <v>-2181742</v>
          </cell>
        </row>
        <row r="354">
          <cell r="A354">
            <v>347</v>
          </cell>
          <cell r="B354">
            <v>35883</v>
          </cell>
          <cell r="C354" t="str">
            <v>夜食代</v>
          </cell>
          <cell r="D354" t="str">
            <v>セイフー</v>
          </cell>
          <cell r="E354">
            <v>503</v>
          </cell>
          <cell r="F354" t="str">
            <v>福利厚生費</v>
          </cell>
          <cell r="G354">
            <v>100</v>
          </cell>
          <cell r="H354" t="str">
            <v>現金</v>
          </cell>
          <cell r="J354">
            <v>2452</v>
          </cell>
          <cell r="K354">
            <v>-2184194</v>
          </cell>
        </row>
        <row r="355">
          <cell r="A355">
            <v>348</v>
          </cell>
          <cell r="B355">
            <v>35884</v>
          </cell>
          <cell r="C355" t="str">
            <v>夜食代</v>
          </cell>
          <cell r="D355" t="str">
            <v>丸正</v>
          </cell>
          <cell r="E355">
            <v>503</v>
          </cell>
          <cell r="F355" t="str">
            <v>福利厚生費</v>
          </cell>
          <cell r="G355">
            <v>100</v>
          </cell>
          <cell r="H355" t="str">
            <v>現金</v>
          </cell>
          <cell r="J355">
            <v>1659</v>
          </cell>
          <cell r="K355">
            <v>-2185853</v>
          </cell>
        </row>
        <row r="356">
          <cell r="A356">
            <v>349</v>
          </cell>
          <cell r="B356">
            <v>35884</v>
          </cell>
          <cell r="C356" t="str">
            <v>お茶代</v>
          </cell>
          <cell r="D356" t="str">
            <v>am pm</v>
          </cell>
          <cell r="E356">
            <v>503</v>
          </cell>
          <cell r="F356" t="str">
            <v>福利厚生費</v>
          </cell>
          <cell r="G356">
            <v>100</v>
          </cell>
          <cell r="H356" t="str">
            <v>現金</v>
          </cell>
          <cell r="J356">
            <v>426</v>
          </cell>
          <cell r="K356">
            <v>-2186279</v>
          </cell>
        </row>
        <row r="357">
          <cell r="A357">
            <v>350</v>
          </cell>
          <cell r="B357">
            <v>35884</v>
          </cell>
          <cell r="C357" t="str">
            <v>トイレットペーパー</v>
          </cell>
          <cell r="D357" t="str">
            <v>ニュードラッグ</v>
          </cell>
          <cell r="E357">
            <v>525</v>
          </cell>
          <cell r="F357" t="str">
            <v>消耗品費</v>
          </cell>
          <cell r="G357">
            <v>100</v>
          </cell>
          <cell r="H357" t="str">
            <v>現金</v>
          </cell>
          <cell r="J357">
            <v>730</v>
          </cell>
          <cell r="K357">
            <v>-2187009</v>
          </cell>
        </row>
        <row r="358">
          <cell r="A358">
            <v>351</v>
          </cell>
          <cell r="B358">
            <v>35884</v>
          </cell>
          <cell r="C358" t="str">
            <v>コンピュータ関係</v>
          </cell>
          <cell r="D358" t="str">
            <v>書泉グランデ</v>
          </cell>
          <cell r="E358">
            <v>516</v>
          </cell>
          <cell r="F358" t="str">
            <v>図書研究費</v>
          </cell>
          <cell r="G358">
            <v>100</v>
          </cell>
          <cell r="H358" t="str">
            <v>現金</v>
          </cell>
          <cell r="J358">
            <v>5289</v>
          </cell>
          <cell r="K358">
            <v>-2192298</v>
          </cell>
        </row>
        <row r="359">
          <cell r="A359">
            <v>352</v>
          </cell>
          <cell r="B359">
            <v>35885</v>
          </cell>
          <cell r="C359" t="str">
            <v>亀コン竹下氏・霞氏</v>
          </cell>
          <cell r="D359" t="str">
            <v>ﾊﾅｺｳｼﾞ</v>
          </cell>
          <cell r="E359">
            <v>535</v>
          </cell>
          <cell r="F359" t="str">
            <v>会議費</v>
          </cell>
          <cell r="G359">
            <v>100</v>
          </cell>
          <cell r="H359" t="str">
            <v>現金</v>
          </cell>
          <cell r="J359">
            <v>1512</v>
          </cell>
          <cell r="K359">
            <v>-2193810</v>
          </cell>
        </row>
        <row r="360">
          <cell r="A360">
            <v>353</v>
          </cell>
          <cell r="B360">
            <v>35885</v>
          </cell>
          <cell r="C360" t="str">
            <v>コンピュータ関係</v>
          </cell>
          <cell r="D360" t="str">
            <v>書泉グランデ</v>
          </cell>
          <cell r="E360">
            <v>516</v>
          </cell>
          <cell r="F360" t="str">
            <v>図書研究費</v>
          </cell>
          <cell r="G360">
            <v>100</v>
          </cell>
          <cell r="H360" t="str">
            <v>現金</v>
          </cell>
          <cell r="J360">
            <v>4469</v>
          </cell>
          <cell r="K360">
            <v>-2198279</v>
          </cell>
        </row>
        <row r="361">
          <cell r="A361">
            <v>354</v>
          </cell>
          <cell r="B361">
            <v>35885</v>
          </cell>
          <cell r="C361" t="str">
            <v>コンピュータ関係</v>
          </cell>
          <cell r="D361" t="str">
            <v>書泉グランデ</v>
          </cell>
          <cell r="E361">
            <v>516</v>
          </cell>
          <cell r="F361" t="str">
            <v>図書研究費</v>
          </cell>
          <cell r="G361">
            <v>100</v>
          </cell>
          <cell r="H361" t="str">
            <v>現金</v>
          </cell>
          <cell r="J361">
            <v>2310</v>
          </cell>
          <cell r="K361">
            <v>-2200589</v>
          </cell>
        </row>
        <row r="362">
          <cell r="A362">
            <v>355</v>
          </cell>
          <cell r="B362">
            <v>35885</v>
          </cell>
          <cell r="C362" t="str">
            <v>給料</v>
          </cell>
          <cell r="D362" t="str">
            <v>細川万紀子</v>
          </cell>
          <cell r="E362">
            <v>501</v>
          </cell>
          <cell r="F362" t="str">
            <v>給料手当</v>
          </cell>
          <cell r="G362">
            <v>100</v>
          </cell>
          <cell r="H362" t="str">
            <v>現金</v>
          </cell>
          <cell r="J362">
            <v>463070</v>
          </cell>
          <cell r="K362">
            <v>-2663659</v>
          </cell>
        </row>
        <row r="363">
          <cell r="A363">
            <v>356</v>
          </cell>
          <cell r="B363">
            <v>35885</v>
          </cell>
          <cell r="C363" t="str">
            <v>源泉所得税</v>
          </cell>
          <cell r="D363" t="str">
            <v>細川万紀子</v>
          </cell>
          <cell r="E363">
            <v>501</v>
          </cell>
          <cell r="F363" t="str">
            <v>給料手当</v>
          </cell>
          <cell r="G363">
            <v>208</v>
          </cell>
          <cell r="H363" t="str">
            <v>預り金</v>
          </cell>
          <cell r="J363">
            <v>36930</v>
          </cell>
          <cell r="K363">
            <v>-2700589</v>
          </cell>
        </row>
        <row r="364">
          <cell r="A364">
            <v>357</v>
          </cell>
          <cell r="B364">
            <v>35886</v>
          </cell>
          <cell r="C364" t="str">
            <v>夜食代</v>
          </cell>
          <cell r="D364" t="str">
            <v>丸正</v>
          </cell>
          <cell r="E364">
            <v>503</v>
          </cell>
          <cell r="F364" t="str">
            <v>福利厚生費</v>
          </cell>
          <cell r="G364">
            <v>100</v>
          </cell>
          <cell r="H364" t="str">
            <v>現金</v>
          </cell>
          <cell r="J364">
            <v>3012</v>
          </cell>
          <cell r="K364">
            <v>-2703601</v>
          </cell>
        </row>
        <row r="365">
          <cell r="A365">
            <v>358</v>
          </cell>
          <cell r="B365">
            <v>35886</v>
          </cell>
          <cell r="C365" t="str">
            <v>お茶代</v>
          </cell>
          <cell r="D365" t="str">
            <v>ファミリーマート</v>
          </cell>
          <cell r="E365">
            <v>503</v>
          </cell>
          <cell r="F365" t="str">
            <v>福利厚生費</v>
          </cell>
          <cell r="G365">
            <v>100</v>
          </cell>
          <cell r="H365" t="str">
            <v>現金</v>
          </cell>
          <cell r="J365">
            <v>896</v>
          </cell>
          <cell r="K365">
            <v>-2704497</v>
          </cell>
        </row>
        <row r="366">
          <cell r="A366">
            <v>359</v>
          </cell>
          <cell r="B366">
            <v>35886</v>
          </cell>
          <cell r="C366" t="str">
            <v>亀コン永田氏</v>
          </cell>
          <cell r="D366" t="str">
            <v>フレッシュネスバーガー</v>
          </cell>
          <cell r="E366">
            <v>535</v>
          </cell>
          <cell r="F366" t="str">
            <v>会議費</v>
          </cell>
          <cell r="G366">
            <v>100</v>
          </cell>
          <cell r="H366" t="str">
            <v>現金</v>
          </cell>
          <cell r="J366">
            <v>514</v>
          </cell>
          <cell r="K366">
            <v>-2705011</v>
          </cell>
        </row>
        <row r="367">
          <cell r="A367">
            <v>360</v>
          </cell>
          <cell r="B367">
            <v>35887</v>
          </cell>
          <cell r="C367" t="str">
            <v>電卓・シャーペン芯</v>
          </cell>
          <cell r="D367" t="str">
            <v>ローソン</v>
          </cell>
          <cell r="E367">
            <v>524</v>
          </cell>
          <cell r="F367" t="str">
            <v>事務消耗品費</v>
          </cell>
          <cell r="G367">
            <v>100</v>
          </cell>
          <cell r="H367" t="str">
            <v>現金</v>
          </cell>
          <cell r="J367">
            <v>1029</v>
          </cell>
          <cell r="K367">
            <v>-2706040</v>
          </cell>
        </row>
        <row r="368">
          <cell r="A368">
            <v>361</v>
          </cell>
          <cell r="B368">
            <v>35887</v>
          </cell>
          <cell r="C368" t="str">
            <v>お菓子代</v>
          </cell>
          <cell r="D368" t="str">
            <v>ファミリーマート</v>
          </cell>
          <cell r="E368">
            <v>503</v>
          </cell>
          <cell r="F368" t="str">
            <v>福利厚生費</v>
          </cell>
          <cell r="G368">
            <v>100</v>
          </cell>
          <cell r="H368" t="str">
            <v>現金</v>
          </cell>
          <cell r="J368">
            <v>197</v>
          </cell>
          <cell r="K368">
            <v>-2706237</v>
          </cell>
        </row>
        <row r="369">
          <cell r="A369">
            <v>362</v>
          </cell>
          <cell r="B369">
            <v>35888</v>
          </cell>
          <cell r="C369" t="str">
            <v>昼食代</v>
          </cell>
          <cell r="D369" t="str">
            <v>丸正</v>
          </cell>
          <cell r="E369">
            <v>503</v>
          </cell>
          <cell r="F369" t="str">
            <v>福利厚生費</v>
          </cell>
          <cell r="G369">
            <v>100</v>
          </cell>
          <cell r="H369" t="str">
            <v>現金</v>
          </cell>
          <cell r="J369">
            <v>1923</v>
          </cell>
          <cell r="K369">
            <v>-2708160</v>
          </cell>
        </row>
        <row r="370">
          <cell r="A370">
            <v>363</v>
          </cell>
          <cell r="B370">
            <v>35888</v>
          </cell>
          <cell r="C370" t="str">
            <v>会計顧問報酬(3月分)</v>
          </cell>
          <cell r="D370" t="str">
            <v>中川会計事務所</v>
          </cell>
          <cell r="E370">
            <v>537</v>
          </cell>
          <cell r="F370" t="str">
            <v>顧問報酬</v>
          </cell>
          <cell r="G370">
            <v>100</v>
          </cell>
          <cell r="H370" t="str">
            <v>現金</v>
          </cell>
          <cell r="J370">
            <v>14250</v>
          </cell>
          <cell r="K370">
            <v>-2722410</v>
          </cell>
        </row>
        <row r="371">
          <cell r="A371">
            <v>364</v>
          </cell>
          <cell r="B371">
            <v>35888</v>
          </cell>
          <cell r="C371" t="str">
            <v>源泉所得税</v>
          </cell>
          <cell r="D371" t="str">
            <v>中川会計事務所</v>
          </cell>
          <cell r="E371">
            <v>537</v>
          </cell>
          <cell r="F371" t="str">
            <v>顧問報酬</v>
          </cell>
          <cell r="G371">
            <v>208</v>
          </cell>
          <cell r="H371" t="str">
            <v>預り金</v>
          </cell>
          <cell r="J371">
            <v>1500</v>
          </cell>
          <cell r="K371">
            <v>-2723910</v>
          </cell>
        </row>
        <row r="372">
          <cell r="A372">
            <v>365</v>
          </cell>
          <cell r="B372">
            <v>35888</v>
          </cell>
          <cell r="C372" t="str">
            <v>外注費</v>
          </cell>
          <cell r="D372" t="str">
            <v>山口 正則</v>
          </cell>
          <cell r="E372">
            <v>201</v>
          </cell>
          <cell r="F372" t="str">
            <v>買掛金</v>
          </cell>
          <cell r="G372">
            <v>114</v>
          </cell>
          <cell r="H372" t="str">
            <v>普通預金</v>
          </cell>
          <cell r="J372">
            <v>360000</v>
          </cell>
          <cell r="K372">
            <v>-3083910</v>
          </cell>
        </row>
        <row r="373">
          <cell r="A373">
            <v>366</v>
          </cell>
          <cell r="B373">
            <v>35888</v>
          </cell>
          <cell r="C373" t="str">
            <v>源泉所得税</v>
          </cell>
          <cell r="D373" t="str">
            <v>山口 正則</v>
          </cell>
          <cell r="E373">
            <v>201</v>
          </cell>
          <cell r="F373" t="str">
            <v>買掛金</v>
          </cell>
          <cell r="G373">
            <v>208</v>
          </cell>
          <cell r="H373" t="str">
            <v>預り金</v>
          </cell>
          <cell r="J373">
            <v>40000</v>
          </cell>
          <cell r="K373">
            <v>-3123910</v>
          </cell>
        </row>
        <row r="374">
          <cell r="A374">
            <v>367</v>
          </cell>
          <cell r="B374">
            <v>35888</v>
          </cell>
          <cell r="C374" t="str">
            <v>支払手数料</v>
          </cell>
          <cell r="D374" t="str">
            <v>東京三菱 Ｂ／Ｋ</v>
          </cell>
          <cell r="E374">
            <v>512</v>
          </cell>
          <cell r="F374" t="str">
            <v>支払手数料</v>
          </cell>
          <cell r="G374">
            <v>114</v>
          </cell>
          <cell r="H374" t="str">
            <v>普通預金</v>
          </cell>
          <cell r="J374">
            <v>472</v>
          </cell>
          <cell r="K374">
            <v>-3124382</v>
          </cell>
        </row>
        <row r="375">
          <cell r="A375">
            <v>368</v>
          </cell>
          <cell r="B375">
            <v>35889</v>
          </cell>
          <cell r="C375" t="str">
            <v>コンピュータ雑誌</v>
          </cell>
          <cell r="D375" t="str">
            <v>あおい書店</v>
          </cell>
          <cell r="E375">
            <v>516</v>
          </cell>
          <cell r="F375" t="str">
            <v>図書研究費</v>
          </cell>
          <cell r="G375">
            <v>100</v>
          </cell>
          <cell r="H375" t="str">
            <v>現金</v>
          </cell>
          <cell r="J375">
            <v>250</v>
          </cell>
          <cell r="K375">
            <v>-3124632</v>
          </cell>
        </row>
        <row r="376">
          <cell r="A376">
            <v>369</v>
          </cell>
          <cell r="B376">
            <v>35889</v>
          </cell>
          <cell r="C376" t="str">
            <v>夜食代</v>
          </cell>
          <cell r="D376" t="str">
            <v>丸正</v>
          </cell>
          <cell r="E376">
            <v>503</v>
          </cell>
          <cell r="F376" t="str">
            <v>福利厚生費</v>
          </cell>
          <cell r="G376">
            <v>100</v>
          </cell>
          <cell r="H376" t="str">
            <v>現金</v>
          </cell>
          <cell r="J376">
            <v>1346</v>
          </cell>
          <cell r="K376">
            <v>-3125978</v>
          </cell>
        </row>
        <row r="377">
          <cell r="A377">
            <v>370</v>
          </cell>
          <cell r="B377">
            <v>35889</v>
          </cell>
          <cell r="C377" t="str">
            <v>夜食代</v>
          </cell>
          <cell r="E377">
            <v>503</v>
          </cell>
          <cell r="F377" t="str">
            <v>福利厚生費</v>
          </cell>
          <cell r="G377">
            <v>100</v>
          </cell>
          <cell r="H377" t="str">
            <v>現金</v>
          </cell>
          <cell r="J377">
            <v>388</v>
          </cell>
          <cell r="K377">
            <v>-3126366</v>
          </cell>
        </row>
        <row r="378">
          <cell r="A378">
            <v>371</v>
          </cell>
          <cell r="B378">
            <v>35890</v>
          </cell>
          <cell r="C378" t="str">
            <v>夜食代</v>
          </cell>
          <cell r="D378" t="str">
            <v>オリジン弁当</v>
          </cell>
          <cell r="E378">
            <v>503</v>
          </cell>
          <cell r="F378" t="str">
            <v>福利厚生費</v>
          </cell>
          <cell r="G378">
            <v>100</v>
          </cell>
          <cell r="H378" t="str">
            <v>現金</v>
          </cell>
          <cell r="J378">
            <v>1186</v>
          </cell>
          <cell r="K378">
            <v>-3127552</v>
          </cell>
        </row>
        <row r="379">
          <cell r="A379">
            <v>372</v>
          </cell>
          <cell r="B379">
            <v>35890</v>
          </cell>
          <cell r="C379" t="str">
            <v>夜食代</v>
          </cell>
          <cell r="D379" t="str">
            <v>オリジン弁当</v>
          </cell>
          <cell r="E379">
            <v>503</v>
          </cell>
          <cell r="F379" t="str">
            <v>福利厚生費</v>
          </cell>
          <cell r="G379">
            <v>100</v>
          </cell>
          <cell r="H379" t="str">
            <v>現金</v>
          </cell>
          <cell r="J379">
            <v>393</v>
          </cell>
          <cell r="K379">
            <v>-3127945</v>
          </cell>
        </row>
        <row r="380">
          <cell r="A380">
            <v>373</v>
          </cell>
          <cell r="B380">
            <v>35890</v>
          </cell>
          <cell r="C380" t="str">
            <v>コンピュータ関係</v>
          </cell>
          <cell r="D380" t="str">
            <v>ビックパソコン館</v>
          </cell>
          <cell r="E380">
            <v>516</v>
          </cell>
          <cell r="F380" t="str">
            <v>図書研究費</v>
          </cell>
          <cell r="G380">
            <v>100</v>
          </cell>
          <cell r="H380" t="str">
            <v>現金</v>
          </cell>
          <cell r="J380">
            <v>3990</v>
          </cell>
          <cell r="K380">
            <v>-3131935</v>
          </cell>
        </row>
        <row r="381">
          <cell r="A381">
            <v>374</v>
          </cell>
          <cell r="B381">
            <v>35890</v>
          </cell>
          <cell r="C381" t="str">
            <v>プリンター</v>
          </cell>
          <cell r="D381" t="str">
            <v>ビックパソコン館</v>
          </cell>
          <cell r="E381">
            <v>550</v>
          </cell>
          <cell r="F381" t="str">
            <v>器具・備品</v>
          </cell>
          <cell r="G381">
            <v>100</v>
          </cell>
          <cell r="H381" t="str">
            <v>現金</v>
          </cell>
          <cell r="J381">
            <v>106764</v>
          </cell>
          <cell r="K381">
            <v>-3238699</v>
          </cell>
        </row>
        <row r="382">
          <cell r="A382">
            <v>375</v>
          </cell>
          <cell r="B382">
            <v>35890</v>
          </cell>
          <cell r="C382" t="str">
            <v>コンピュータソフト</v>
          </cell>
          <cell r="D382" t="str">
            <v>ビックパソコン館</v>
          </cell>
          <cell r="E382">
            <v>516</v>
          </cell>
          <cell r="F382" t="str">
            <v>図書研究費</v>
          </cell>
          <cell r="G382">
            <v>100</v>
          </cell>
          <cell r="H382" t="str">
            <v>現金</v>
          </cell>
          <cell r="J382">
            <v>9429</v>
          </cell>
          <cell r="K382">
            <v>-3248128</v>
          </cell>
        </row>
        <row r="383">
          <cell r="A383">
            <v>376</v>
          </cell>
          <cell r="B383">
            <v>35891</v>
          </cell>
          <cell r="C383" t="str">
            <v>コピー用紙代</v>
          </cell>
          <cell r="D383" t="str">
            <v>キャノンゼロワンショップ</v>
          </cell>
          <cell r="E383">
            <v>524</v>
          </cell>
          <cell r="F383" t="str">
            <v>事務消耗品費</v>
          </cell>
          <cell r="G383">
            <v>100</v>
          </cell>
          <cell r="H383" t="str">
            <v>現金</v>
          </cell>
          <cell r="J383">
            <v>1207</v>
          </cell>
          <cell r="K383">
            <v>-3249335</v>
          </cell>
        </row>
        <row r="384">
          <cell r="A384">
            <v>377</v>
          </cell>
          <cell r="B384">
            <v>35891</v>
          </cell>
          <cell r="C384" t="str">
            <v>お茶代</v>
          </cell>
          <cell r="D384" t="str">
            <v>サンクス</v>
          </cell>
          <cell r="E384">
            <v>503</v>
          </cell>
          <cell r="F384" t="str">
            <v>福利厚生費</v>
          </cell>
          <cell r="G384">
            <v>100</v>
          </cell>
          <cell r="H384" t="str">
            <v>現金</v>
          </cell>
          <cell r="J384">
            <v>640</v>
          </cell>
          <cell r="K384">
            <v>-3249975</v>
          </cell>
        </row>
        <row r="385">
          <cell r="A385">
            <v>378</v>
          </cell>
          <cell r="B385">
            <v>35891</v>
          </cell>
          <cell r="C385" t="str">
            <v>亀コン竹下氏</v>
          </cell>
          <cell r="D385" t="str">
            <v>カフェイヴェール</v>
          </cell>
          <cell r="E385">
            <v>535</v>
          </cell>
          <cell r="F385" t="str">
            <v>会議費</v>
          </cell>
          <cell r="G385">
            <v>100</v>
          </cell>
          <cell r="H385" t="str">
            <v>現金</v>
          </cell>
          <cell r="J385">
            <v>1627</v>
          </cell>
          <cell r="K385">
            <v>-3251602</v>
          </cell>
        </row>
        <row r="386">
          <cell r="A386">
            <v>379</v>
          </cell>
          <cell r="B386">
            <v>35891</v>
          </cell>
          <cell r="C386" t="str">
            <v>外注費</v>
          </cell>
          <cell r="D386" t="str">
            <v>永田 浩一</v>
          </cell>
          <cell r="E386">
            <v>201</v>
          </cell>
          <cell r="F386" t="str">
            <v>買掛金</v>
          </cell>
          <cell r="G386">
            <v>114</v>
          </cell>
          <cell r="H386" t="str">
            <v>普通預金</v>
          </cell>
          <cell r="J386">
            <v>900000</v>
          </cell>
          <cell r="K386">
            <v>-4151602</v>
          </cell>
        </row>
        <row r="387">
          <cell r="A387">
            <v>380</v>
          </cell>
          <cell r="B387">
            <v>35891</v>
          </cell>
          <cell r="C387" t="str">
            <v>源泉所得税</v>
          </cell>
          <cell r="D387" t="str">
            <v>永田 浩一</v>
          </cell>
          <cell r="E387">
            <v>201</v>
          </cell>
          <cell r="F387" t="str">
            <v>買掛金</v>
          </cell>
          <cell r="G387">
            <v>208</v>
          </cell>
          <cell r="H387" t="str">
            <v>預り金</v>
          </cell>
          <cell r="J387">
            <v>100000</v>
          </cell>
          <cell r="K387">
            <v>-4251602</v>
          </cell>
        </row>
        <row r="388">
          <cell r="A388">
            <v>381</v>
          </cell>
          <cell r="B388">
            <v>35892</v>
          </cell>
          <cell r="C388" t="str">
            <v>コンピュータ関係</v>
          </cell>
          <cell r="D388" t="str">
            <v>書泉グランデ</v>
          </cell>
          <cell r="E388">
            <v>516</v>
          </cell>
          <cell r="F388" t="str">
            <v>図書研究費</v>
          </cell>
          <cell r="G388">
            <v>100</v>
          </cell>
          <cell r="H388" t="str">
            <v>現金</v>
          </cell>
          <cell r="J388">
            <v>1344</v>
          </cell>
          <cell r="K388">
            <v>-4252946</v>
          </cell>
        </row>
        <row r="389">
          <cell r="A389">
            <v>382</v>
          </cell>
          <cell r="B389">
            <v>35892</v>
          </cell>
          <cell r="C389" t="str">
            <v>コンピュータ関係</v>
          </cell>
          <cell r="D389" t="str">
            <v>書泉グランデ</v>
          </cell>
          <cell r="E389">
            <v>516</v>
          </cell>
          <cell r="F389" t="str">
            <v>図書研究費</v>
          </cell>
          <cell r="G389">
            <v>100</v>
          </cell>
          <cell r="H389" t="str">
            <v>現金</v>
          </cell>
          <cell r="J389">
            <v>11060</v>
          </cell>
          <cell r="K389">
            <v>-4264006</v>
          </cell>
        </row>
        <row r="390">
          <cell r="A390">
            <v>383</v>
          </cell>
          <cell r="B390">
            <v>35892</v>
          </cell>
          <cell r="C390" t="str">
            <v>亀コン竹下氏</v>
          </cell>
          <cell r="D390" t="str">
            <v>ＰＲＯＮＴ</v>
          </cell>
          <cell r="E390">
            <v>535</v>
          </cell>
          <cell r="F390" t="str">
            <v>会議費</v>
          </cell>
          <cell r="G390">
            <v>100</v>
          </cell>
          <cell r="H390" t="str">
            <v>現金</v>
          </cell>
          <cell r="J390">
            <v>462</v>
          </cell>
          <cell r="K390">
            <v>-4264468</v>
          </cell>
        </row>
        <row r="391">
          <cell r="A391">
            <v>384</v>
          </cell>
          <cell r="B391">
            <v>35892</v>
          </cell>
          <cell r="C391" t="str">
            <v>お菓子代</v>
          </cell>
          <cell r="D391" t="str">
            <v>丸正</v>
          </cell>
          <cell r="E391">
            <v>503</v>
          </cell>
          <cell r="F391" t="str">
            <v>福利厚生費</v>
          </cell>
          <cell r="G391">
            <v>100</v>
          </cell>
          <cell r="H391" t="str">
            <v>現金</v>
          </cell>
          <cell r="J391">
            <v>911</v>
          </cell>
          <cell r="K391">
            <v>-4265379</v>
          </cell>
        </row>
        <row r="392">
          <cell r="A392">
            <v>385</v>
          </cell>
          <cell r="B392">
            <v>35892</v>
          </cell>
          <cell r="C392" t="str">
            <v>亀コン永田氏・霞氏</v>
          </cell>
          <cell r="D392" t="str">
            <v>魚民</v>
          </cell>
          <cell r="E392">
            <v>535</v>
          </cell>
          <cell r="F392" t="str">
            <v>会議費</v>
          </cell>
          <cell r="G392">
            <v>100</v>
          </cell>
          <cell r="H392" t="str">
            <v>現金</v>
          </cell>
          <cell r="J392">
            <v>4326</v>
          </cell>
          <cell r="K392">
            <v>-4269705</v>
          </cell>
        </row>
        <row r="393">
          <cell r="A393">
            <v>386</v>
          </cell>
          <cell r="B393">
            <v>35893</v>
          </cell>
          <cell r="C393" t="str">
            <v>亀コン霞氏</v>
          </cell>
          <cell r="E393">
            <v>535</v>
          </cell>
          <cell r="F393" t="str">
            <v>会議費</v>
          </cell>
          <cell r="G393">
            <v>100</v>
          </cell>
          <cell r="H393" t="str">
            <v>現金</v>
          </cell>
          <cell r="J393">
            <v>336</v>
          </cell>
          <cell r="K393">
            <v>-4270041</v>
          </cell>
        </row>
        <row r="394">
          <cell r="A394">
            <v>387</v>
          </cell>
          <cell r="B394">
            <v>35893</v>
          </cell>
          <cell r="C394" t="str">
            <v>亀コン霞氏</v>
          </cell>
          <cell r="D394" t="str">
            <v>ル・ブランヌ</v>
          </cell>
          <cell r="E394">
            <v>535</v>
          </cell>
          <cell r="F394" t="str">
            <v>会議費</v>
          </cell>
          <cell r="G394">
            <v>100</v>
          </cell>
          <cell r="H394" t="str">
            <v>現金</v>
          </cell>
          <cell r="J394">
            <v>3200</v>
          </cell>
          <cell r="K394">
            <v>-4273241</v>
          </cell>
        </row>
        <row r="395">
          <cell r="A395">
            <v>388</v>
          </cell>
          <cell r="B395">
            <v>35894</v>
          </cell>
          <cell r="C395" t="str">
            <v>お菓子代</v>
          </cell>
          <cell r="D395" t="str">
            <v>ファミリーマート</v>
          </cell>
          <cell r="E395">
            <v>503</v>
          </cell>
          <cell r="F395" t="str">
            <v>福利厚生費</v>
          </cell>
          <cell r="G395">
            <v>100</v>
          </cell>
          <cell r="H395" t="str">
            <v>現金</v>
          </cell>
          <cell r="J395">
            <v>602</v>
          </cell>
          <cell r="K395">
            <v>-4273843</v>
          </cell>
        </row>
        <row r="396">
          <cell r="A396">
            <v>389</v>
          </cell>
          <cell r="B396">
            <v>35894</v>
          </cell>
          <cell r="C396" t="str">
            <v>夜食代</v>
          </cell>
          <cell r="D396" t="str">
            <v>丸正</v>
          </cell>
          <cell r="E396">
            <v>503</v>
          </cell>
          <cell r="F396" t="str">
            <v>福利厚生費</v>
          </cell>
          <cell r="G396">
            <v>100</v>
          </cell>
          <cell r="H396" t="str">
            <v>現金</v>
          </cell>
          <cell r="J396">
            <v>2870</v>
          </cell>
          <cell r="K396">
            <v>-4276713</v>
          </cell>
        </row>
        <row r="397">
          <cell r="A397">
            <v>390</v>
          </cell>
          <cell r="B397">
            <v>35895</v>
          </cell>
          <cell r="C397" t="str">
            <v>茶菓子代</v>
          </cell>
          <cell r="D397" t="str">
            <v>伊勢丹</v>
          </cell>
          <cell r="E397">
            <v>503</v>
          </cell>
          <cell r="F397" t="str">
            <v>福利厚生費</v>
          </cell>
          <cell r="G397">
            <v>100</v>
          </cell>
          <cell r="H397" t="str">
            <v>現金</v>
          </cell>
          <cell r="J397">
            <v>459</v>
          </cell>
          <cell r="K397">
            <v>-4277172</v>
          </cell>
        </row>
        <row r="398">
          <cell r="A398">
            <v>391</v>
          </cell>
          <cell r="B398">
            <v>35895</v>
          </cell>
          <cell r="C398" t="str">
            <v>お茶代</v>
          </cell>
          <cell r="D398" t="str">
            <v>ローソン</v>
          </cell>
          <cell r="E398">
            <v>503</v>
          </cell>
          <cell r="F398" t="str">
            <v>福利厚生費</v>
          </cell>
          <cell r="G398">
            <v>100</v>
          </cell>
          <cell r="H398" t="str">
            <v>現金</v>
          </cell>
          <cell r="J398">
            <v>281</v>
          </cell>
          <cell r="K398">
            <v>-4277453</v>
          </cell>
        </row>
        <row r="399">
          <cell r="A399">
            <v>392</v>
          </cell>
          <cell r="B399">
            <v>35895</v>
          </cell>
          <cell r="C399" t="str">
            <v>コンピュータ関係</v>
          </cell>
          <cell r="D399" t="str">
            <v>あおい書店</v>
          </cell>
          <cell r="E399">
            <v>516</v>
          </cell>
          <cell r="F399" t="str">
            <v>図書研究費</v>
          </cell>
          <cell r="G399">
            <v>100</v>
          </cell>
          <cell r="H399" t="str">
            <v>現金</v>
          </cell>
          <cell r="J399">
            <v>1223</v>
          </cell>
          <cell r="K399">
            <v>-4278676</v>
          </cell>
        </row>
        <row r="400">
          <cell r="A400">
            <v>393</v>
          </cell>
          <cell r="B400">
            <v>35896</v>
          </cell>
          <cell r="C400" t="str">
            <v>お茶代</v>
          </cell>
          <cell r="D400" t="str">
            <v>am pm</v>
          </cell>
          <cell r="E400">
            <v>503</v>
          </cell>
          <cell r="F400" t="str">
            <v>福利厚生費</v>
          </cell>
          <cell r="G400">
            <v>100</v>
          </cell>
          <cell r="H400" t="str">
            <v>現金</v>
          </cell>
          <cell r="J400">
            <v>795</v>
          </cell>
          <cell r="K400">
            <v>-4279471</v>
          </cell>
        </row>
        <row r="401">
          <cell r="A401">
            <v>394</v>
          </cell>
          <cell r="B401">
            <v>35896</v>
          </cell>
          <cell r="C401" t="str">
            <v>コンピュータ雑誌・新聞</v>
          </cell>
          <cell r="D401" t="str">
            <v>am pm</v>
          </cell>
          <cell r="E401">
            <v>516</v>
          </cell>
          <cell r="F401" t="str">
            <v>図書研究費</v>
          </cell>
          <cell r="G401">
            <v>100</v>
          </cell>
          <cell r="H401" t="str">
            <v>現金</v>
          </cell>
          <cell r="J401">
            <v>1690</v>
          </cell>
          <cell r="K401">
            <v>-4281161</v>
          </cell>
        </row>
        <row r="402">
          <cell r="A402">
            <v>395</v>
          </cell>
          <cell r="B402">
            <v>35896</v>
          </cell>
          <cell r="C402" t="str">
            <v>コンピュータ雑誌</v>
          </cell>
          <cell r="D402" t="str">
            <v>ローソン</v>
          </cell>
          <cell r="E402">
            <v>516</v>
          </cell>
          <cell r="F402" t="str">
            <v>図書研究費</v>
          </cell>
          <cell r="G402">
            <v>100</v>
          </cell>
          <cell r="H402" t="str">
            <v>現金</v>
          </cell>
          <cell r="J402">
            <v>380</v>
          </cell>
          <cell r="K402">
            <v>-4281541</v>
          </cell>
        </row>
        <row r="403">
          <cell r="A403">
            <v>396</v>
          </cell>
          <cell r="B403">
            <v>35896</v>
          </cell>
          <cell r="C403" t="str">
            <v>亀コン竹下氏</v>
          </cell>
          <cell r="D403" t="str">
            <v>ベローチェ</v>
          </cell>
          <cell r="E403">
            <v>535</v>
          </cell>
          <cell r="F403" t="str">
            <v>会議費</v>
          </cell>
          <cell r="G403">
            <v>100</v>
          </cell>
          <cell r="H403" t="str">
            <v>現金</v>
          </cell>
          <cell r="J403">
            <v>766</v>
          </cell>
          <cell r="K403">
            <v>-4282307</v>
          </cell>
        </row>
        <row r="404">
          <cell r="A404">
            <v>397</v>
          </cell>
          <cell r="B404">
            <v>35896</v>
          </cell>
          <cell r="C404" t="str">
            <v>夜食代</v>
          </cell>
          <cell r="D404" t="str">
            <v>ローソン</v>
          </cell>
          <cell r="E404">
            <v>503</v>
          </cell>
          <cell r="F404" t="str">
            <v>福利厚生費</v>
          </cell>
          <cell r="G404">
            <v>100</v>
          </cell>
          <cell r="H404" t="str">
            <v>現金</v>
          </cell>
          <cell r="J404">
            <v>1746</v>
          </cell>
          <cell r="K404">
            <v>-4284053</v>
          </cell>
        </row>
        <row r="405">
          <cell r="A405">
            <v>398</v>
          </cell>
          <cell r="B405">
            <v>35896</v>
          </cell>
          <cell r="C405" t="str">
            <v>コンピュータソフト</v>
          </cell>
          <cell r="D405" t="str">
            <v>ビックパソコン館</v>
          </cell>
          <cell r="E405">
            <v>516</v>
          </cell>
          <cell r="F405" t="str">
            <v>図書研究費</v>
          </cell>
          <cell r="G405">
            <v>100</v>
          </cell>
          <cell r="H405" t="str">
            <v>現金</v>
          </cell>
          <cell r="J405">
            <v>3187</v>
          </cell>
          <cell r="K405">
            <v>-4287240</v>
          </cell>
        </row>
        <row r="406">
          <cell r="A406">
            <v>399</v>
          </cell>
          <cell r="B406">
            <v>35897</v>
          </cell>
          <cell r="C406" t="str">
            <v>コンピュータ関係</v>
          </cell>
          <cell r="D406" t="str">
            <v>あおい書店</v>
          </cell>
          <cell r="E406">
            <v>516</v>
          </cell>
          <cell r="F406" t="str">
            <v>図書研究費</v>
          </cell>
          <cell r="G406">
            <v>100</v>
          </cell>
          <cell r="H406" t="str">
            <v>現金</v>
          </cell>
          <cell r="J406">
            <v>1020</v>
          </cell>
          <cell r="K406">
            <v>-4288260</v>
          </cell>
        </row>
        <row r="407">
          <cell r="A407">
            <v>400</v>
          </cell>
          <cell r="B407">
            <v>35897</v>
          </cell>
          <cell r="C407" t="str">
            <v>亀コン永田氏</v>
          </cell>
          <cell r="D407" t="str">
            <v>くいしんぼ</v>
          </cell>
          <cell r="E407">
            <v>535</v>
          </cell>
          <cell r="F407" t="str">
            <v>会議費</v>
          </cell>
          <cell r="G407">
            <v>100</v>
          </cell>
          <cell r="H407" t="str">
            <v>現金</v>
          </cell>
          <cell r="J407">
            <v>4452</v>
          </cell>
          <cell r="K407">
            <v>-4292712</v>
          </cell>
        </row>
        <row r="408">
          <cell r="A408">
            <v>401</v>
          </cell>
          <cell r="B408">
            <v>35897</v>
          </cell>
          <cell r="C408" t="str">
            <v>亀コン永田氏</v>
          </cell>
          <cell r="D408" t="str">
            <v>デニーズ</v>
          </cell>
          <cell r="E408">
            <v>535</v>
          </cell>
          <cell r="F408" t="str">
            <v>会議費</v>
          </cell>
          <cell r="G408">
            <v>100</v>
          </cell>
          <cell r="H408" t="str">
            <v>現金</v>
          </cell>
          <cell r="J408">
            <v>3511</v>
          </cell>
          <cell r="K408">
            <v>-4296223</v>
          </cell>
        </row>
        <row r="409">
          <cell r="A409">
            <v>402</v>
          </cell>
          <cell r="B409">
            <v>35898</v>
          </cell>
          <cell r="C409" t="str">
            <v>お茶代</v>
          </cell>
          <cell r="D409" t="str">
            <v>ファミリーマート</v>
          </cell>
          <cell r="E409">
            <v>503</v>
          </cell>
          <cell r="F409" t="str">
            <v>福利厚生費</v>
          </cell>
          <cell r="G409">
            <v>100</v>
          </cell>
          <cell r="H409" t="str">
            <v>現金</v>
          </cell>
          <cell r="J409">
            <v>354</v>
          </cell>
          <cell r="K409">
            <v>-4296577</v>
          </cell>
        </row>
        <row r="410">
          <cell r="A410">
            <v>403</v>
          </cell>
          <cell r="B410">
            <v>35898</v>
          </cell>
          <cell r="C410" t="str">
            <v>亀コン霞氏</v>
          </cell>
          <cell r="D410" t="str">
            <v>ジョナサン</v>
          </cell>
          <cell r="E410">
            <v>535</v>
          </cell>
          <cell r="F410" t="str">
            <v>会議費</v>
          </cell>
          <cell r="G410">
            <v>100</v>
          </cell>
          <cell r="H410" t="str">
            <v>現金</v>
          </cell>
          <cell r="J410">
            <v>1686</v>
          </cell>
          <cell r="K410">
            <v>-4298263</v>
          </cell>
        </row>
        <row r="411">
          <cell r="A411">
            <v>404</v>
          </cell>
          <cell r="B411">
            <v>35898</v>
          </cell>
          <cell r="C411" t="str">
            <v>パソコン台</v>
          </cell>
          <cell r="D411" t="str">
            <v>岡田商会</v>
          </cell>
          <cell r="E411">
            <v>525</v>
          </cell>
          <cell r="F411" t="str">
            <v>消耗品費</v>
          </cell>
          <cell r="G411">
            <v>100</v>
          </cell>
          <cell r="H411" t="str">
            <v>現金</v>
          </cell>
          <cell r="J411">
            <v>23835</v>
          </cell>
          <cell r="K411">
            <v>-4322098</v>
          </cell>
        </row>
        <row r="412">
          <cell r="A412">
            <v>405</v>
          </cell>
          <cell r="B412">
            <v>35898</v>
          </cell>
          <cell r="C412" t="str">
            <v>パソコン</v>
          </cell>
          <cell r="D412" t="str">
            <v>ザ・コンピュータ館</v>
          </cell>
          <cell r="E412">
            <v>550</v>
          </cell>
          <cell r="F412" t="str">
            <v>器具・備品</v>
          </cell>
          <cell r="G412">
            <v>100</v>
          </cell>
          <cell r="H412" t="str">
            <v>現金</v>
          </cell>
          <cell r="J412">
            <v>243810</v>
          </cell>
          <cell r="K412">
            <v>-4565908</v>
          </cell>
        </row>
        <row r="413">
          <cell r="A413">
            <v>406</v>
          </cell>
          <cell r="B413">
            <v>35899</v>
          </cell>
          <cell r="C413" t="str">
            <v>夜食代</v>
          </cell>
          <cell r="D413" t="str">
            <v>茶月</v>
          </cell>
          <cell r="E413">
            <v>503</v>
          </cell>
          <cell r="F413" t="str">
            <v>福利厚生費</v>
          </cell>
          <cell r="G413">
            <v>100</v>
          </cell>
          <cell r="H413" t="str">
            <v>現金</v>
          </cell>
          <cell r="J413">
            <v>819</v>
          </cell>
          <cell r="K413">
            <v>-4566727</v>
          </cell>
        </row>
        <row r="414">
          <cell r="A414">
            <v>407</v>
          </cell>
          <cell r="B414">
            <v>35899</v>
          </cell>
          <cell r="C414" t="str">
            <v>夜食代</v>
          </cell>
          <cell r="D414" t="str">
            <v>ボンデセール</v>
          </cell>
          <cell r="E414">
            <v>503</v>
          </cell>
          <cell r="F414" t="str">
            <v>福利厚生費</v>
          </cell>
          <cell r="G414">
            <v>100</v>
          </cell>
          <cell r="H414" t="str">
            <v>現金</v>
          </cell>
          <cell r="J414">
            <v>493</v>
          </cell>
          <cell r="K414">
            <v>-4567220</v>
          </cell>
        </row>
        <row r="415">
          <cell r="A415">
            <v>408</v>
          </cell>
          <cell r="B415">
            <v>35899</v>
          </cell>
          <cell r="C415" t="str">
            <v>お茶代</v>
          </cell>
          <cell r="D415" t="str">
            <v>ローソン</v>
          </cell>
          <cell r="E415">
            <v>503</v>
          </cell>
          <cell r="F415" t="str">
            <v>福利厚生費</v>
          </cell>
          <cell r="G415">
            <v>100</v>
          </cell>
          <cell r="H415" t="str">
            <v>現金</v>
          </cell>
          <cell r="J415">
            <v>417</v>
          </cell>
          <cell r="K415">
            <v>-4567637</v>
          </cell>
        </row>
        <row r="416">
          <cell r="A416">
            <v>409</v>
          </cell>
          <cell r="B416">
            <v>35899</v>
          </cell>
          <cell r="C416" t="str">
            <v>コンピュータ雑誌</v>
          </cell>
          <cell r="D416" t="str">
            <v>ブックバーン</v>
          </cell>
          <cell r="E416">
            <v>516</v>
          </cell>
          <cell r="F416" t="str">
            <v>図書研究費</v>
          </cell>
          <cell r="G416">
            <v>100</v>
          </cell>
          <cell r="H416" t="str">
            <v>現金</v>
          </cell>
          <cell r="J416">
            <v>1580</v>
          </cell>
          <cell r="K416">
            <v>-4569217</v>
          </cell>
        </row>
        <row r="417">
          <cell r="A417">
            <v>410</v>
          </cell>
          <cell r="B417">
            <v>35900</v>
          </cell>
          <cell r="C417" t="str">
            <v>タクシー代</v>
          </cell>
          <cell r="D417" t="str">
            <v>日停モータース</v>
          </cell>
          <cell r="E417">
            <v>522</v>
          </cell>
          <cell r="F417" t="str">
            <v>旅費交通費</v>
          </cell>
          <cell r="G417">
            <v>100</v>
          </cell>
          <cell r="H417" t="str">
            <v>現金</v>
          </cell>
          <cell r="J417">
            <v>660</v>
          </cell>
          <cell r="K417">
            <v>-4569877</v>
          </cell>
        </row>
        <row r="418">
          <cell r="A418">
            <v>411</v>
          </cell>
          <cell r="B418">
            <v>35900</v>
          </cell>
          <cell r="C418" t="str">
            <v>レターケース</v>
          </cell>
          <cell r="D418" t="str">
            <v>フカツ</v>
          </cell>
          <cell r="E418">
            <v>525</v>
          </cell>
          <cell r="F418" t="str">
            <v>消耗品費</v>
          </cell>
          <cell r="G418">
            <v>100</v>
          </cell>
          <cell r="H418" t="str">
            <v>現金</v>
          </cell>
          <cell r="J418">
            <v>1995</v>
          </cell>
          <cell r="K418">
            <v>-4571872</v>
          </cell>
        </row>
        <row r="419">
          <cell r="A419">
            <v>412</v>
          </cell>
          <cell r="B419">
            <v>35900</v>
          </cell>
          <cell r="C419" t="str">
            <v>夜食代</v>
          </cell>
          <cell r="D419" t="str">
            <v>セイフー</v>
          </cell>
          <cell r="E419">
            <v>503</v>
          </cell>
          <cell r="F419" t="str">
            <v>福利厚生費</v>
          </cell>
          <cell r="G419">
            <v>100</v>
          </cell>
          <cell r="H419" t="str">
            <v>現金</v>
          </cell>
          <cell r="J419">
            <v>478</v>
          </cell>
          <cell r="K419">
            <v>-4572350</v>
          </cell>
        </row>
        <row r="420">
          <cell r="A420">
            <v>413</v>
          </cell>
          <cell r="B420">
            <v>35900</v>
          </cell>
          <cell r="C420" t="str">
            <v>夜食代</v>
          </cell>
          <cell r="D420" t="str">
            <v>丸正</v>
          </cell>
          <cell r="E420">
            <v>503</v>
          </cell>
          <cell r="F420" t="str">
            <v>福利厚生費</v>
          </cell>
          <cell r="G420">
            <v>100</v>
          </cell>
          <cell r="H420" t="str">
            <v>現金</v>
          </cell>
          <cell r="J420">
            <v>1964</v>
          </cell>
          <cell r="K420">
            <v>-4574314</v>
          </cell>
        </row>
        <row r="421">
          <cell r="A421">
            <v>414</v>
          </cell>
          <cell r="B421">
            <v>35900</v>
          </cell>
          <cell r="C421" t="str">
            <v>出金伝票</v>
          </cell>
          <cell r="D421" t="str">
            <v>丸正</v>
          </cell>
          <cell r="E421">
            <v>524</v>
          </cell>
          <cell r="F421" t="str">
            <v>事務消耗品費</v>
          </cell>
          <cell r="G421">
            <v>100</v>
          </cell>
          <cell r="H421" t="str">
            <v>現金</v>
          </cell>
          <cell r="J421">
            <v>231</v>
          </cell>
          <cell r="K421">
            <v>-4574545</v>
          </cell>
        </row>
        <row r="422">
          <cell r="A422">
            <v>415</v>
          </cell>
          <cell r="B422">
            <v>35900</v>
          </cell>
          <cell r="C422" t="str">
            <v>お茶代</v>
          </cell>
          <cell r="D422" t="str">
            <v>ローソン</v>
          </cell>
          <cell r="E422">
            <v>503</v>
          </cell>
          <cell r="F422" t="str">
            <v>福利厚生費</v>
          </cell>
          <cell r="G422">
            <v>100</v>
          </cell>
          <cell r="H422" t="str">
            <v>現金</v>
          </cell>
          <cell r="J422">
            <v>281</v>
          </cell>
          <cell r="K422">
            <v>-4574826</v>
          </cell>
        </row>
        <row r="423">
          <cell r="A423">
            <v>416</v>
          </cell>
          <cell r="B423">
            <v>35900</v>
          </cell>
          <cell r="C423" t="str">
            <v>お菓子代</v>
          </cell>
          <cell r="D423" t="str">
            <v>ローソン</v>
          </cell>
          <cell r="E423">
            <v>503</v>
          </cell>
          <cell r="F423" t="str">
            <v>福利厚生費</v>
          </cell>
          <cell r="G423">
            <v>100</v>
          </cell>
          <cell r="H423" t="str">
            <v>現金</v>
          </cell>
          <cell r="J423">
            <v>1050</v>
          </cell>
          <cell r="K423">
            <v>-4575876</v>
          </cell>
        </row>
        <row r="424">
          <cell r="A424">
            <v>417</v>
          </cell>
          <cell r="B424">
            <v>35900</v>
          </cell>
          <cell r="C424" t="str">
            <v>コンピュータ誌</v>
          </cell>
          <cell r="D424" t="str">
            <v>オーブックス</v>
          </cell>
          <cell r="E424">
            <v>516</v>
          </cell>
          <cell r="F424" t="str">
            <v>図書研究費</v>
          </cell>
          <cell r="G424">
            <v>100</v>
          </cell>
          <cell r="H424" t="str">
            <v>現金</v>
          </cell>
          <cell r="J424">
            <v>1140</v>
          </cell>
          <cell r="K424">
            <v>-4577016</v>
          </cell>
        </row>
        <row r="425">
          <cell r="A425">
            <v>418</v>
          </cell>
          <cell r="B425">
            <v>35900</v>
          </cell>
          <cell r="C425" t="str">
            <v>ビ・アーム山際氏</v>
          </cell>
          <cell r="D425" t="str">
            <v>Hard Rock</v>
          </cell>
          <cell r="E425">
            <v>521</v>
          </cell>
          <cell r="F425" t="str">
            <v>接待交際費</v>
          </cell>
          <cell r="G425">
            <v>100</v>
          </cell>
          <cell r="H425" t="str">
            <v>現金</v>
          </cell>
          <cell r="J425">
            <v>10210</v>
          </cell>
          <cell r="K425">
            <v>-4587226</v>
          </cell>
        </row>
        <row r="426">
          <cell r="A426">
            <v>419</v>
          </cell>
          <cell r="B426">
            <v>35900</v>
          </cell>
          <cell r="C426" t="str">
            <v>電話代</v>
          </cell>
          <cell r="D426" t="str">
            <v>ＮＴＴ</v>
          </cell>
          <cell r="E426">
            <v>523</v>
          </cell>
          <cell r="F426" t="str">
            <v>通信費</v>
          </cell>
          <cell r="G426">
            <v>114</v>
          </cell>
          <cell r="H426" t="str">
            <v>普通預金</v>
          </cell>
          <cell r="J426">
            <v>3307</v>
          </cell>
          <cell r="K426">
            <v>-4590533</v>
          </cell>
        </row>
        <row r="427">
          <cell r="A427">
            <v>420</v>
          </cell>
          <cell r="B427">
            <v>35900</v>
          </cell>
          <cell r="C427" t="str">
            <v>電気代</v>
          </cell>
          <cell r="D427" t="str">
            <v>東京電力</v>
          </cell>
          <cell r="E427">
            <v>530</v>
          </cell>
          <cell r="F427" t="str">
            <v>水道光熱費</v>
          </cell>
          <cell r="G427">
            <v>114</v>
          </cell>
          <cell r="H427" t="str">
            <v>普通預金</v>
          </cell>
          <cell r="J427">
            <v>7558</v>
          </cell>
          <cell r="K427">
            <v>-4598091</v>
          </cell>
        </row>
        <row r="428">
          <cell r="A428">
            <v>421</v>
          </cell>
          <cell r="B428">
            <v>35901</v>
          </cell>
          <cell r="C428" t="str">
            <v>茶菓子代</v>
          </cell>
          <cell r="D428" t="str">
            <v>フレッシュネスバーガー</v>
          </cell>
          <cell r="E428">
            <v>503</v>
          </cell>
          <cell r="F428" t="str">
            <v>福利厚生費</v>
          </cell>
          <cell r="G428">
            <v>100</v>
          </cell>
          <cell r="H428" t="str">
            <v>現金</v>
          </cell>
          <cell r="J428">
            <v>336</v>
          </cell>
          <cell r="K428">
            <v>-4598427</v>
          </cell>
        </row>
        <row r="429">
          <cell r="A429">
            <v>422</v>
          </cell>
          <cell r="B429">
            <v>35902</v>
          </cell>
          <cell r="C429" t="str">
            <v>夜食代</v>
          </cell>
          <cell r="D429" t="str">
            <v>丸正</v>
          </cell>
          <cell r="E429">
            <v>503</v>
          </cell>
          <cell r="F429" t="str">
            <v>福利厚生費</v>
          </cell>
          <cell r="G429">
            <v>100</v>
          </cell>
          <cell r="H429" t="str">
            <v>現金</v>
          </cell>
          <cell r="J429">
            <v>1947</v>
          </cell>
          <cell r="K429">
            <v>-4600374</v>
          </cell>
        </row>
        <row r="430">
          <cell r="A430">
            <v>423</v>
          </cell>
          <cell r="B430">
            <v>35903</v>
          </cell>
          <cell r="C430" t="str">
            <v>亀コン手土産代</v>
          </cell>
          <cell r="D430" t="str">
            <v>玉屋</v>
          </cell>
          <cell r="E430">
            <v>521</v>
          </cell>
          <cell r="F430" t="str">
            <v>接待交際費</v>
          </cell>
          <cell r="G430">
            <v>100</v>
          </cell>
          <cell r="H430" t="str">
            <v>現金</v>
          </cell>
          <cell r="J430">
            <v>1995</v>
          </cell>
          <cell r="K430">
            <v>-4602369</v>
          </cell>
        </row>
        <row r="431">
          <cell r="A431">
            <v>424</v>
          </cell>
          <cell r="B431">
            <v>35903</v>
          </cell>
          <cell r="C431" t="str">
            <v>昼食代</v>
          </cell>
          <cell r="D431" t="str">
            <v>ローソン</v>
          </cell>
          <cell r="E431">
            <v>503</v>
          </cell>
          <cell r="F431" t="str">
            <v>福利厚生費</v>
          </cell>
          <cell r="G431">
            <v>100</v>
          </cell>
          <cell r="H431" t="str">
            <v>現金</v>
          </cell>
          <cell r="J431">
            <v>493</v>
          </cell>
          <cell r="K431">
            <v>-4602862</v>
          </cell>
        </row>
        <row r="432">
          <cell r="A432">
            <v>425</v>
          </cell>
          <cell r="B432">
            <v>35903</v>
          </cell>
          <cell r="C432" t="str">
            <v>日経新聞</v>
          </cell>
          <cell r="D432" t="str">
            <v>ローソン</v>
          </cell>
          <cell r="E432">
            <v>516</v>
          </cell>
          <cell r="F432" t="str">
            <v>図書研究費</v>
          </cell>
          <cell r="G432">
            <v>100</v>
          </cell>
          <cell r="H432" t="str">
            <v>現金</v>
          </cell>
          <cell r="J432">
            <v>130</v>
          </cell>
          <cell r="K432">
            <v>-4602992</v>
          </cell>
        </row>
        <row r="433">
          <cell r="A433">
            <v>426</v>
          </cell>
          <cell r="B433">
            <v>35903</v>
          </cell>
          <cell r="C433" t="str">
            <v>亀コン竹下氏・山口氏・霞氏</v>
          </cell>
          <cell r="D433" t="str">
            <v>コージーコーナー</v>
          </cell>
          <cell r="E433">
            <v>535</v>
          </cell>
          <cell r="F433" t="str">
            <v>会議費</v>
          </cell>
          <cell r="G433">
            <v>100</v>
          </cell>
          <cell r="H433" t="str">
            <v>現金</v>
          </cell>
          <cell r="J433">
            <v>5754</v>
          </cell>
          <cell r="K433">
            <v>-4608746</v>
          </cell>
        </row>
        <row r="434">
          <cell r="A434">
            <v>427</v>
          </cell>
          <cell r="B434">
            <v>35903</v>
          </cell>
          <cell r="C434" t="str">
            <v>コンピュータ雑誌</v>
          </cell>
          <cell r="D434" t="str">
            <v>ブックバーン</v>
          </cell>
          <cell r="E434">
            <v>516</v>
          </cell>
          <cell r="F434" t="str">
            <v>図書研究費</v>
          </cell>
          <cell r="G434">
            <v>100</v>
          </cell>
          <cell r="H434" t="str">
            <v>現金</v>
          </cell>
          <cell r="J434">
            <v>760</v>
          </cell>
          <cell r="K434">
            <v>-4609506</v>
          </cell>
        </row>
        <row r="435">
          <cell r="A435">
            <v>428</v>
          </cell>
          <cell r="B435">
            <v>35904</v>
          </cell>
          <cell r="C435" t="str">
            <v>石鹸</v>
          </cell>
          <cell r="D435" t="str">
            <v>ボディ・ショップ</v>
          </cell>
          <cell r="E435">
            <v>525</v>
          </cell>
          <cell r="F435" t="str">
            <v>消耗品費</v>
          </cell>
          <cell r="G435">
            <v>100</v>
          </cell>
          <cell r="H435" t="str">
            <v>現金</v>
          </cell>
          <cell r="J435">
            <v>1260</v>
          </cell>
          <cell r="K435">
            <v>-4610766</v>
          </cell>
        </row>
        <row r="436">
          <cell r="A436">
            <v>429</v>
          </cell>
          <cell r="B436">
            <v>35904</v>
          </cell>
          <cell r="C436" t="str">
            <v>書類送付代</v>
          </cell>
          <cell r="D436" t="str">
            <v>東屋</v>
          </cell>
          <cell r="E436">
            <v>511</v>
          </cell>
          <cell r="F436" t="str">
            <v>運賃</v>
          </cell>
          <cell r="G436">
            <v>100</v>
          </cell>
          <cell r="H436" t="str">
            <v>現金</v>
          </cell>
          <cell r="J436">
            <v>1270</v>
          </cell>
          <cell r="K436">
            <v>-4612036</v>
          </cell>
        </row>
        <row r="437">
          <cell r="A437">
            <v>430</v>
          </cell>
          <cell r="B437">
            <v>35904</v>
          </cell>
          <cell r="C437" t="str">
            <v>亀コン永田氏</v>
          </cell>
          <cell r="D437" t="str">
            <v>Fracasso</v>
          </cell>
          <cell r="E437">
            <v>535</v>
          </cell>
          <cell r="F437" t="str">
            <v>会議費</v>
          </cell>
          <cell r="G437">
            <v>100</v>
          </cell>
          <cell r="H437" t="str">
            <v>現金</v>
          </cell>
          <cell r="J437">
            <v>3453</v>
          </cell>
          <cell r="K437">
            <v>-4615489</v>
          </cell>
        </row>
        <row r="438">
          <cell r="A438">
            <v>431</v>
          </cell>
          <cell r="B438">
            <v>35905</v>
          </cell>
          <cell r="C438" t="str">
            <v>昼食代</v>
          </cell>
          <cell r="D438" t="str">
            <v>ローソン</v>
          </cell>
          <cell r="E438">
            <v>503</v>
          </cell>
          <cell r="F438" t="str">
            <v>福利厚生費</v>
          </cell>
          <cell r="G438">
            <v>100</v>
          </cell>
          <cell r="H438" t="str">
            <v>現金</v>
          </cell>
          <cell r="J438">
            <v>1394</v>
          </cell>
          <cell r="K438">
            <v>-4616883</v>
          </cell>
        </row>
        <row r="439">
          <cell r="A439">
            <v>432</v>
          </cell>
          <cell r="B439">
            <v>35905</v>
          </cell>
          <cell r="C439" t="str">
            <v>お菓子代</v>
          </cell>
          <cell r="D439" t="str">
            <v>ファミリーマート</v>
          </cell>
          <cell r="E439">
            <v>503</v>
          </cell>
          <cell r="F439" t="str">
            <v>福利厚生費</v>
          </cell>
          <cell r="G439">
            <v>100</v>
          </cell>
          <cell r="H439" t="str">
            <v>現金</v>
          </cell>
          <cell r="J439">
            <v>535</v>
          </cell>
          <cell r="K439">
            <v>-4617418</v>
          </cell>
        </row>
        <row r="440">
          <cell r="A440">
            <v>433</v>
          </cell>
          <cell r="B440">
            <v>35905</v>
          </cell>
          <cell r="C440" t="str">
            <v>コンピュータ雑誌</v>
          </cell>
          <cell r="D440" t="str">
            <v>ファミリーマート</v>
          </cell>
          <cell r="E440">
            <v>516</v>
          </cell>
          <cell r="F440" t="str">
            <v>図書研究費</v>
          </cell>
          <cell r="G440">
            <v>100</v>
          </cell>
          <cell r="H440" t="str">
            <v>現金</v>
          </cell>
          <cell r="J440">
            <v>250</v>
          </cell>
          <cell r="K440">
            <v>-4617668</v>
          </cell>
        </row>
        <row r="441">
          <cell r="A441">
            <v>434</v>
          </cell>
          <cell r="B441">
            <v>35905</v>
          </cell>
          <cell r="C441" t="str">
            <v>ビ・アーム</v>
          </cell>
          <cell r="D441" t="str">
            <v>東京グリーンパレス</v>
          </cell>
          <cell r="E441">
            <v>535</v>
          </cell>
          <cell r="F441" t="str">
            <v>会議費</v>
          </cell>
          <cell r="G441">
            <v>100</v>
          </cell>
          <cell r="H441" t="str">
            <v>現金</v>
          </cell>
          <cell r="J441">
            <v>6500</v>
          </cell>
          <cell r="K441">
            <v>-4624168</v>
          </cell>
        </row>
        <row r="442">
          <cell r="A442">
            <v>435</v>
          </cell>
          <cell r="B442">
            <v>35905</v>
          </cell>
          <cell r="C442" t="str">
            <v>外注費</v>
          </cell>
          <cell r="D442" t="str">
            <v>山口 正則</v>
          </cell>
          <cell r="E442">
            <v>464</v>
          </cell>
          <cell r="F442" t="str">
            <v>外注費</v>
          </cell>
          <cell r="G442">
            <v>100</v>
          </cell>
          <cell r="H442" t="str">
            <v>現金</v>
          </cell>
          <cell r="J442">
            <v>90000</v>
          </cell>
          <cell r="K442">
            <v>-4714168</v>
          </cell>
        </row>
        <row r="443">
          <cell r="A443">
            <v>436</v>
          </cell>
          <cell r="B443">
            <v>35905</v>
          </cell>
          <cell r="C443" t="str">
            <v>源泉所得税</v>
          </cell>
          <cell r="D443" t="str">
            <v>山口 正則</v>
          </cell>
          <cell r="E443">
            <v>464</v>
          </cell>
          <cell r="F443" t="str">
            <v>外注費</v>
          </cell>
          <cell r="G443">
            <v>208</v>
          </cell>
          <cell r="H443" t="str">
            <v>預り金</v>
          </cell>
          <cell r="J443">
            <v>10000</v>
          </cell>
          <cell r="K443">
            <v>-4724168</v>
          </cell>
        </row>
        <row r="444">
          <cell r="A444">
            <v>437</v>
          </cell>
          <cell r="B444">
            <v>35905</v>
          </cell>
          <cell r="C444" t="str">
            <v>外注費</v>
          </cell>
          <cell r="D444" t="str">
            <v>竹下 紀章</v>
          </cell>
          <cell r="E444">
            <v>464</v>
          </cell>
          <cell r="F444" t="str">
            <v>外注費</v>
          </cell>
          <cell r="G444">
            <v>100</v>
          </cell>
          <cell r="H444" t="str">
            <v>現金</v>
          </cell>
          <cell r="J444">
            <v>90000</v>
          </cell>
          <cell r="K444">
            <v>-4814168</v>
          </cell>
        </row>
        <row r="445">
          <cell r="A445">
            <v>438</v>
          </cell>
          <cell r="B445">
            <v>35905</v>
          </cell>
          <cell r="C445" t="str">
            <v>源泉所得税</v>
          </cell>
          <cell r="D445" t="str">
            <v>竹下 紀章</v>
          </cell>
          <cell r="E445">
            <v>464</v>
          </cell>
          <cell r="F445" t="str">
            <v>外注費</v>
          </cell>
          <cell r="G445">
            <v>208</v>
          </cell>
          <cell r="H445" t="str">
            <v>預り金</v>
          </cell>
          <cell r="J445">
            <v>10000</v>
          </cell>
          <cell r="K445">
            <v>-4824168</v>
          </cell>
        </row>
        <row r="446">
          <cell r="A446">
            <v>439</v>
          </cell>
          <cell r="B446">
            <v>35905</v>
          </cell>
          <cell r="C446" t="str">
            <v>外注費</v>
          </cell>
          <cell r="D446" t="str">
            <v>加藤 大介</v>
          </cell>
          <cell r="E446">
            <v>464</v>
          </cell>
          <cell r="F446" t="str">
            <v>外注費</v>
          </cell>
          <cell r="G446">
            <v>100</v>
          </cell>
          <cell r="H446" t="str">
            <v>現金</v>
          </cell>
          <cell r="J446">
            <v>90000</v>
          </cell>
          <cell r="K446">
            <v>-4914168</v>
          </cell>
        </row>
        <row r="447">
          <cell r="A447">
            <v>440</v>
          </cell>
          <cell r="B447">
            <v>35905</v>
          </cell>
          <cell r="C447" t="str">
            <v>源泉所得税</v>
          </cell>
          <cell r="D447" t="str">
            <v>加藤 大介</v>
          </cell>
          <cell r="E447">
            <v>464</v>
          </cell>
          <cell r="F447" t="str">
            <v>外注費</v>
          </cell>
          <cell r="G447">
            <v>208</v>
          </cell>
          <cell r="H447" t="str">
            <v>預り金</v>
          </cell>
          <cell r="J447">
            <v>10000</v>
          </cell>
          <cell r="K447">
            <v>-4924168</v>
          </cell>
        </row>
        <row r="448">
          <cell r="A448">
            <v>441</v>
          </cell>
          <cell r="B448">
            <v>35905</v>
          </cell>
          <cell r="C448" t="str">
            <v>外注費</v>
          </cell>
          <cell r="D448" t="str">
            <v>霞  友信</v>
          </cell>
          <cell r="E448">
            <v>464</v>
          </cell>
          <cell r="F448" t="str">
            <v>外注費</v>
          </cell>
          <cell r="G448">
            <v>100</v>
          </cell>
          <cell r="H448" t="str">
            <v>現金</v>
          </cell>
          <cell r="J448">
            <v>90000</v>
          </cell>
          <cell r="K448">
            <v>-5014168</v>
          </cell>
        </row>
        <row r="449">
          <cell r="A449">
            <v>442</v>
          </cell>
          <cell r="B449">
            <v>35905</v>
          </cell>
          <cell r="C449" t="str">
            <v>源泉所得税</v>
          </cell>
          <cell r="D449" t="str">
            <v>霞  友信</v>
          </cell>
          <cell r="E449">
            <v>464</v>
          </cell>
          <cell r="F449" t="str">
            <v>外注費</v>
          </cell>
          <cell r="G449">
            <v>208</v>
          </cell>
          <cell r="H449" t="str">
            <v>預り金</v>
          </cell>
          <cell r="J449">
            <v>10000</v>
          </cell>
          <cell r="K449">
            <v>-5024168</v>
          </cell>
        </row>
        <row r="450">
          <cell r="A450">
            <v>443</v>
          </cell>
          <cell r="B450">
            <v>35906</v>
          </cell>
          <cell r="C450" t="str">
            <v>夜食代</v>
          </cell>
          <cell r="D450" t="str">
            <v>ローソン</v>
          </cell>
          <cell r="E450">
            <v>503</v>
          </cell>
          <cell r="F450" t="str">
            <v>福利厚生費</v>
          </cell>
          <cell r="G450">
            <v>100</v>
          </cell>
          <cell r="H450" t="str">
            <v>現金</v>
          </cell>
          <cell r="J450">
            <v>672</v>
          </cell>
          <cell r="K450">
            <v>-5024840</v>
          </cell>
        </row>
        <row r="451">
          <cell r="A451">
            <v>444</v>
          </cell>
          <cell r="B451">
            <v>35906</v>
          </cell>
          <cell r="C451" t="str">
            <v>コンピュータ関係</v>
          </cell>
          <cell r="D451" t="str">
            <v>ビックパソコン館</v>
          </cell>
          <cell r="E451">
            <v>516</v>
          </cell>
          <cell r="F451" t="str">
            <v>図書研究費</v>
          </cell>
          <cell r="G451">
            <v>100</v>
          </cell>
          <cell r="H451" t="str">
            <v>現金</v>
          </cell>
          <cell r="J451">
            <v>15362</v>
          </cell>
          <cell r="K451">
            <v>-5040202</v>
          </cell>
        </row>
        <row r="452">
          <cell r="A452">
            <v>445</v>
          </cell>
          <cell r="B452">
            <v>35906</v>
          </cell>
          <cell r="C452" t="str">
            <v>ガス代</v>
          </cell>
          <cell r="D452" t="str">
            <v>東京ガス</v>
          </cell>
          <cell r="E452">
            <v>530</v>
          </cell>
          <cell r="F452" t="str">
            <v>水道光熱費</v>
          </cell>
          <cell r="G452">
            <v>114</v>
          </cell>
          <cell r="H452" t="str">
            <v>普通預金</v>
          </cell>
          <cell r="J452">
            <v>5014</v>
          </cell>
          <cell r="K452">
            <v>-5045216</v>
          </cell>
        </row>
        <row r="453">
          <cell r="A453">
            <v>446</v>
          </cell>
          <cell r="B453">
            <v>35907</v>
          </cell>
          <cell r="C453" t="str">
            <v>夜食代</v>
          </cell>
          <cell r="D453" t="str">
            <v>丸正</v>
          </cell>
          <cell r="E453">
            <v>503</v>
          </cell>
          <cell r="F453" t="str">
            <v>福利厚生費</v>
          </cell>
          <cell r="G453">
            <v>100</v>
          </cell>
          <cell r="H453" t="str">
            <v>現金</v>
          </cell>
          <cell r="J453">
            <v>2032</v>
          </cell>
          <cell r="K453">
            <v>-5047248</v>
          </cell>
        </row>
        <row r="454">
          <cell r="A454">
            <v>447</v>
          </cell>
          <cell r="B454">
            <v>35907</v>
          </cell>
          <cell r="C454" t="str">
            <v>昼食代</v>
          </cell>
          <cell r="D454" t="str">
            <v>ローソン</v>
          </cell>
          <cell r="E454">
            <v>503</v>
          </cell>
          <cell r="F454" t="str">
            <v>福利厚生費</v>
          </cell>
          <cell r="G454">
            <v>100</v>
          </cell>
          <cell r="H454" t="str">
            <v>現金</v>
          </cell>
          <cell r="J454">
            <v>774</v>
          </cell>
          <cell r="K454">
            <v>-5048022</v>
          </cell>
        </row>
        <row r="455">
          <cell r="A455">
            <v>448</v>
          </cell>
          <cell r="B455">
            <v>35908</v>
          </cell>
          <cell r="C455" t="str">
            <v>お菓子代</v>
          </cell>
          <cell r="D455" t="str">
            <v>丸正</v>
          </cell>
          <cell r="E455">
            <v>503</v>
          </cell>
          <cell r="F455" t="str">
            <v>福利厚生費</v>
          </cell>
          <cell r="G455">
            <v>100</v>
          </cell>
          <cell r="H455" t="str">
            <v>現金</v>
          </cell>
          <cell r="J455">
            <v>570</v>
          </cell>
          <cell r="K455">
            <v>-5048592</v>
          </cell>
        </row>
        <row r="456">
          <cell r="A456">
            <v>449</v>
          </cell>
          <cell r="B456">
            <v>35909</v>
          </cell>
          <cell r="C456" t="str">
            <v>茶菓子代</v>
          </cell>
          <cell r="D456" t="str">
            <v>一口茶屋</v>
          </cell>
          <cell r="E456">
            <v>503</v>
          </cell>
          <cell r="F456" t="str">
            <v>福利厚生費</v>
          </cell>
          <cell r="G456">
            <v>100</v>
          </cell>
          <cell r="H456" t="str">
            <v>現金</v>
          </cell>
          <cell r="J456">
            <v>380</v>
          </cell>
          <cell r="K456">
            <v>-5048972</v>
          </cell>
        </row>
        <row r="457">
          <cell r="A457">
            <v>450</v>
          </cell>
          <cell r="B457">
            <v>35909</v>
          </cell>
          <cell r="C457" t="str">
            <v>昼食代</v>
          </cell>
          <cell r="D457" t="str">
            <v>ローソン</v>
          </cell>
          <cell r="E457">
            <v>503</v>
          </cell>
          <cell r="F457" t="str">
            <v>福利厚生費</v>
          </cell>
          <cell r="G457">
            <v>100</v>
          </cell>
          <cell r="H457" t="str">
            <v>現金</v>
          </cell>
          <cell r="J457">
            <v>499</v>
          </cell>
          <cell r="K457">
            <v>-5049471</v>
          </cell>
        </row>
        <row r="458">
          <cell r="A458">
            <v>451</v>
          </cell>
          <cell r="B458">
            <v>35909</v>
          </cell>
          <cell r="C458" t="str">
            <v>切手代</v>
          </cell>
          <cell r="D458" t="str">
            <v>郵便局</v>
          </cell>
          <cell r="E458">
            <v>523</v>
          </cell>
          <cell r="F458" t="str">
            <v>通信費</v>
          </cell>
          <cell r="G458">
            <v>100</v>
          </cell>
          <cell r="H458" t="str">
            <v>現金</v>
          </cell>
          <cell r="J458">
            <v>800</v>
          </cell>
          <cell r="K458">
            <v>-5050271</v>
          </cell>
        </row>
        <row r="459">
          <cell r="A459">
            <v>452</v>
          </cell>
          <cell r="B459">
            <v>35909</v>
          </cell>
          <cell r="C459" t="str">
            <v>亀コン霞氏・加藤氏・山口氏</v>
          </cell>
          <cell r="D459" t="str">
            <v>AMERICAN POTATO</v>
          </cell>
          <cell r="E459">
            <v>535</v>
          </cell>
          <cell r="F459" t="str">
            <v>会議費</v>
          </cell>
          <cell r="G459">
            <v>100</v>
          </cell>
          <cell r="H459" t="str">
            <v>現金</v>
          </cell>
          <cell r="J459">
            <v>4140</v>
          </cell>
          <cell r="K459">
            <v>-5054411</v>
          </cell>
        </row>
        <row r="460">
          <cell r="A460">
            <v>453</v>
          </cell>
          <cell r="B460">
            <v>35910</v>
          </cell>
          <cell r="C460" t="str">
            <v>タクシー代</v>
          </cell>
          <cell r="D460" t="str">
            <v>日本交通</v>
          </cell>
          <cell r="E460">
            <v>522</v>
          </cell>
          <cell r="F460" t="str">
            <v>旅費交通費</v>
          </cell>
          <cell r="G460">
            <v>100</v>
          </cell>
          <cell r="H460" t="str">
            <v>現金</v>
          </cell>
          <cell r="J460">
            <v>820</v>
          </cell>
          <cell r="K460">
            <v>-5055231</v>
          </cell>
        </row>
        <row r="461">
          <cell r="A461">
            <v>454</v>
          </cell>
          <cell r="B461">
            <v>35910</v>
          </cell>
          <cell r="C461" t="str">
            <v>タクシー代</v>
          </cell>
          <cell r="D461" t="str">
            <v>日本自動車交通</v>
          </cell>
          <cell r="E461">
            <v>522</v>
          </cell>
          <cell r="F461" t="str">
            <v>旅費交通費</v>
          </cell>
          <cell r="G461">
            <v>100</v>
          </cell>
          <cell r="H461" t="str">
            <v>現金</v>
          </cell>
          <cell r="J461">
            <v>1060</v>
          </cell>
          <cell r="K461">
            <v>-5056291</v>
          </cell>
        </row>
        <row r="462">
          <cell r="A462">
            <v>455</v>
          </cell>
          <cell r="B462">
            <v>35910</v>
          </cell>
          <cell r="C462" t="str">
            <v>昼食代</v>
          </cell>
          <cell r="D462" t="str">
            <v>セイフー</v>
          </cell>
          <cell r="E462">
            <v>503</v>
          </cell>
          <cell r="F462" t="str">
            <v>福利厚生費</v>
          </cell>
          <cell r="G462">
            <v>100</v>
          </cell>
          <cell r="H462" t="str">
            <v>現金</v>
          </cell>
          <cell r="J462">
            <v>315</v>
          </cell>
          <cell r="K462">
            <v>-5056606</v>
          </cell>
        </row>
        <row r="463">
          <cell r="A463">
            <v>456</v>
          </cell>
          <cell r="B463">
            <v>35910</v>
          </cell>
          <cell r="C463" t="str">
            <v>昼食代</v>
          </cell>
          <cell r="D463" t="str">
            <v>丸正</v>
          </cell>
          <cell r="E463">
            <v>503</v>
          </cell>
          <cell r="F463" t="str">
            <v>福利厚生費</v>
          </cell>
          <cell r="G463">
            <v>100</v>
          </cell>
          <cell r="H463" t="str">
            <v>現金</v>
          </cell>
          <cell r="J463">
            <v>1705</v>
          </cell>
          <cell r="K463">
            <v>-5058311</v>
          </cell>
        </row>
        <row r="464">
          <cell r="A464">
            <v>457</v>
          </cell>
          <cell r="B464">
            <v>35910</v>
          </cell>
          <cell r="C464" t="str">
            <v>亀コン永田氏・竹下氏・加藤氏</v>
          </cell>
          <cell r="D464" t="str">
            <v>UA</v>
          </cell>
          <cell r="E464">
            <v>535</v>
          </cell>
          <cell r="F464" t="str">
            <v>会議費</v>
          </cell>
          <cell r="G464">
            <v>100</v>
          </cell>
          <cell r="H464" t="str">
            <v>現金</v>
          </cell>
          <cell r="J464">
            <v>4893</v>
          </cell>
          <cell r="K464">
            <v>-5063204</v>
          </cell>
        </row>
        <row r="465">
          <cell r="A465">
            <v>458</v>
          </cell>
          <cell r="B465">
            <v>35911</v>
          </cell>
          <cell r="C465" t="str">
            <v>HGP緒方氏・亀ｺﾝ永田氏</v>
          </cell>
          <cell r="D465" t="str">
            <v>ダイアモンドホテル</v>
          </cell>
          <cell r="E465">
            <v>535</v>
          </cell>
          <cell r="F465" t="str">
            <v>会議費</v>
          </cell>
          <cell r="G465">
            <v>100</v>
          </cell>
          <cell r="H465" t="str">
            <v>現金</v>
          </cell>
          <cell r="J465">
            <v>9933</v>
          </cell>
          <cell r="K465">
            <v>-5073137</v>
          </cell>
        </row>
        <row r="466">
          <cell r="A466">
            <v>459</v>
          </cell>
          <cell r="B466">
            <v>35911</v>
          </cell>
          <cell r="C466" t="str">
            <v>タクシー代</v>
          </cell>
          <cell r="D466" t="str">
            <v>京王自動車</v>
          </cell>
          <cell r="E466">
            <v>522</v>
          </cell>
          <cell r="F466" t="str">
            <v>旅費交通費</v>
          </cell>
          <cell r="G466">
            <v>100</v>
          </cell>
          <cell r="H466" t="str">
            <v>現金</v>
          </cell>
          <cell r="J466">
            <v>660</v>
          </cell>
          <cell r="K466">
            <v>-5073797</v>
          </cell>
        </row>
        <row r="467">
          <cell r="A467">
            <v>460</v>
          </cell>
          <cell r="B467">
            <v>35912</v>
          </cell>
          <cell r="C467" t="str">
            <v>昼食代</v>
          </cell>
          <cell r="D467" t="str">
            <v>セイフー</v>
          </cell>
          <cell r="E467">
            <v>503</v>
          </cell>
          <cell r="F467" t="str">
            <v>福利厚生費</v>
          </cell>
          <cell r="G467">
            <v>100</v>
          </cell>
          <cell r="H467" t="str">
            <v>現金</v>
          </cell>
          <cell r="J467">
            <v>409</v>
          </cell>
          <cell r="K467">
            <v>-5074206</v>
          </cell>
        </row>
        <row r="468">
          <cell r="A468">
            <v>461</v>
          </cell>
          <cell r="B468">
            <v>35912</v>
          </cell>
          <cell r="C468" t="str">
            <v>夜食代</v>
          </cell>
          <cell r="D468" t="str">
            <v>丸正</v>
          </cell>
          <cell r="E468">
            <v>503</v>
          </cell>
          <cell r="F468" t="str">
            <v>福利厚生費</v>
          </cell>
          <cell r="G468">
            <v>100</v>
          </cell>
          <cell r="H468" t="str">
            <v>現金</v>
          </cell>
          <cell r="J468">
            <v>1368</v>
          </cell>
          <cell r="K468">
            <v>-5075574</v>
          </cell>
        </row>
        <row r="469">
          <cell r="A469">
            <v>462</v>
          </cell>
          <cell r="B469">
            <v>35912</v>
          </cell>
          <cell r="C469" t="str">
            <v>PHS通話料</v>
          </cell>
          <cell r="D469" t="str">
            <v>ＤＤＩポケット</v>
          </cell>
          <cell r="E469">
            <v>523</v>
          </cell>
          <cell r="F469" t="str">
            <v>通信費</v>
          </cell>
          <cell r="G469">
            <v>114</v>
          </cell>
          <cell r="H469" t="str">
            <v>普通預金</v>
          </cell>
          <cell r="J469">
            <v>5995</v>
          </cell>
          <cell r="K469">
            <v>-5081569</v>
          </cell>
        </row>
        <row r="470">
          <cell r="A470">
            <v>463</v>
          </cell>
          <cell r="B470">
            <v>35912</v>
          </cell>
          <cell r="C470" t="str">
            <v>5月分家賃</v>
          </cell>
          <cell r="D470" t="str">
            <v>大塚刷毛製造(株）</v>
          </cell>
          <cell r="E470">
            <v>528</v>
          </cell>
          <cell r="F470" t="str">
            <v>地代・家賃</v>
          </cell>
          <cell r="G470">
            <v>100</v>
          </cell>
          <cell r="H470" t="str">
            <v>現金</v>
          </cell>
          <cell r="J470">
            <v>89000</v>
          </cell>
          <cell r="K470">
            <v>-5170569</v>
          </cell>
        </row>
        <row r="471">
          <cell r="A471">
            <v>464</v>
          </cell>
          <cell r="B471">
            <v>35912</v>
          </cell>
          <cell r="C471" t="str">
            <v>預り金</v>
          </cell>
          <cell r="D471" t="str">
            <v>四谷税務署</v>
          </cell>
          <cell r="E471">
            <v>208</v>
          </cell>
          <cell r="F471" t="str">
            <v>預り金</v>
          </cell>
          <cell r="G471">
            <v>114</v>
          </cell>
          <cell r="H471" t="str">
            <v>普通預金</v>
          </cell>
          <cell r="J471">
            <v>710000</v>
          </cell>
          <cell r="K471">
            <v>-5880569</v>
          </cell>
        </row>
        <row r="472">
          <cell r="A472">
            <v>465</v>
          </cell>
          <cell r="B472">
            <v>35913</v>
          </cell>
          <cell r="C472" t="str">
            <v>顧問報酬料</v>
          </cell>
          <cell r="D472" t="str">
            <v>中川会計事務所</v>
          </cell>
          <cell r="E472">
            <v>537</v>
          </cell>
          <cell r="F472" t="str">
            <v>顧問報酬</v>
          </cell>
          <cell r="G472">
            <v>100</v>
          </cell>
          <cell r="H472" t="str">
            <v>現金</v>
          </cell>
          <cell r="J472">
            <v>14250</v>
          </cell>
          <cell r="K472">
            <v>-5894819</v>
          </cell>
        </row>
        <row r="473">
          <cell r="A473">
            <v>466</v>
          </cell>
          <cell r="B473">
            <v>35913</v>
          </cell>
          <cell r="C473" t="str">
            <v>源泉所得税</v>
          </cell>
          <cell r="D473" t="str">
            <v>中川会計事務所</v>
          </cell>
          <cell r="E473">
            <v>537</v>
          </cell>
          <cell r="F473" t="str">
            <v>顧問報酬</v>
          </cell>
          <cell r="G473">
            <v>208</v>
          </cell>
          <cell r="H473" t="str">
            <v>預り金</v>
          </cell>
          <cell r="J473">
            <v>1500</v>
          </cell>
          <cell r="K473">
            <v>-5896319</v>
          </cell>
        </row>
        <row r="474">
          <cell r="A474">
            <v>467</v>
          </cell>
          <cell r="B474">
            <v>35914</v>
          </cell>
          <cell r="C474" t="str">
            <v>お茶代</v>
          </cell>
          <cell r="D474" t="str">
            <v>am pm</v>
          </cell>
          <cell r="E474">
            <v>503</v>
          </cell>
          <cell r="F474" t="str">
            <v>福利厚生費</v>
          </cell>
          <cell r="G474">
            <v>100</v>
          </cell>
          <cell r="H474" t="str">
            <v>現金</v>
          </cell>
          <cell r="J474">
            <v>530</v>
          </cell>
          <cell r="K474">
            <v>-5896849</v>
          </cell>
        </row>
        <row r="475">
          <cell r="A475">
            <v>468</v>
          </cell>
          <cell r="B475">
            <v>35914</v>
          </cell>
          <cell r="C475" t="str">
            <v>昼食代</v>
          </cell>
          <cell r="D475" t="str">
            <v>丸正</v>
          </cell>
          <cell r="E475">
            <v>503</v>
          </cell>
          <cell r="F475" t="str">
            <v>福利厚生費</v>
          </cell>
          <cell r="G475">
            <v>100</v>
          </cell>
          <cell r="H475" t="str">
            <v>現金</v>
          </cell>
          <cell r="J475">
            <v>2214</v>
          </cell>
          <cell r="K475">
            <v>-5899063</v>
          </cell>
        </row>
        <row r="476">
          <cell r="A476">
            <v>469</v>
          </cell>
          <cell r="B476">
            <v>35914</v>
          </cell>
          <cell r="C476" t="str">
            <v>日経netＮavi</v>
          </cell>
          <cell r="D476" t="str">
            <v>am pm</v>
          </cell>
          <cell r="E476">
            <v>516</v>
          </cell>
          <cell r="F476" t="str">
            <v>図書研究費</v>
          </cell>
          <cell r="G476">
            <v>100</v>
          </cell>
          <cell r="H476" t="str">
            <v>現金</v>
          </cell>
          <cell r="J476">
            <v>590</v>
          </cell>
          <cell r="K476">
            <v>-5899653</v>
          </cell>
        </row>
        <row r="477">
          <cell r="A477">
            <v>470</v>
          </cell>
          <cell r="B477">
            <v>35914</v>
          </cell>
          <cell r="C477" t="str">
            <v>お茶代</v>
          </cell>
          <cell r="D477" t="str">
            <v>am pm</v>
          </cell>
          <cell r="E477">
            <v>503</v>
          </cell>
          <cell r="F477" t="str">
            <v>福利厚生費</v>
          </cell>
          <cell r="G477">
            <v>100</v>
          </cell>
          <cell r="H477" t="str">
            <v>現金</v>
          </cell>
          <cell r="J477">
            <v>344</v>
          </cell>
          <cell r="K477">
            <v>-5899997</v>
          </cell>
        </row>
        <row r="478">
          <cell r="A478">
            <v>471</v>
          </cell>
          <cell r="B478">
            <v>35914</v>
          </cell>
          <cell r="C478" t="str">
            <v>タクシー代</v>
          </cell>
          <cell r="D478" t="str">
            <v>三和交通</v>
          </cell>
          <cell r="E478">
            <v>522</v>
          </cell>
          <cell r="F478" t="str">
            <v>旅費交通費</v>
          </cell>
          <cell r="G478">
            <v>100</v>
          </cell>
          <cell r="H478" t="str">
            <v>現金</v>
          </cell>
          <cell r="J478">
            <v>640</v>
          </cell>
          <cell r="K478">
            <v>-5900637</v>
          </cell>
        </row>
        <row r="479">
          <cell r="A479">
            <v>472</v>
          </cell>
          <cell r="B479">
            <v>35915</v>
          </cell>
          <cell r="C479" t="str">
            <v>タオル代</v>
          </cell>
          <cell r="D479" t="str">
            <v>HARMAN</v>
          </cell>
          <cell r="E479">
            <v>525</v>
          </cell>
          <cell r="F479" t="str">
            <v>消耗品費</v>
          </cell>
          <cell r="G479">
            <v>100</v>
          </cell>
          <cell r="H479" t="str">
            <v>現金</v>
          </cell>
          <cell r="J479">
            <v>1050</v>
          </cell>
          <cell r="K479">
            <v>-5901687</v>
          </cell>
        </row>
        <row r="480">
          <cell r="A480">
            <v>473</v>
          </cell>
          <cell r="B480">
            <v>35915</v>
          </cell>
          <cell r="C480" t="str">
            <v>茶菓子代</v>
          </cell>
          <cell r="D480" t="str">
            <v>ボントール</v>
          </cell>
          <cell r="E480">
            <v>503</v>
          </cell>
          <cell r="F480" t="str">
            <v>福利厚生費</v>
          </cell>
          <cell r="G480">
            <v>100</v>
          </cell>
          <cell r="H480" t="str">
            <v>現金</v>
          </cell>
          <cell r="J480">
            <v>326</v>
          </cell>
          <cell r="K480">
            <v>-5902013</v>
          </cell>
        </row>
        <row r="481">
          <cell r="A481">
            <v>474</v>
          </cell>
          <cell r="B481">
            <v>35915</v>
          </cell>
          <cell r="C481" t="str">
            <v>茶菓子代</v>
          </cell>
          <cell r="D481" t="str">
            <v>ローソン</v>
          </cell>
          <cell r="E481">
            <v>503</v>
          </cell>
          <cell r="F481" t="str">
            <v>福利厚生費</v>
          </cell>
          <cell r="G481">
            <v>100</v>
          </cell>
          <cell r="H481" t="str">
            <v>現金</v>
          </cell>
          <cell r="J481">
            <v>816</v>
          </cell>
          <cell r="K481">
            <v>-5902829</v>
          </cell>
        </row>
        <row r="482">
          <cell r="A482">
            <v>475</v>
          </cell>
          <cell r="B482">
            <v>35915</v>
          </cell>
          <cell r="C482" t="str">
            <v>夜食代</v>
          </cell>
          <cell r="D482" t="str">
            <v>ファミリーマート</v>
          </cell>
          <cell r="E482">
            <v>503</v>
          </cell>
          <cell r="F482" t="str">
            <v>福利厚生費</v>
          </cell>
          <cell r="G482">
            <v>100</v>
          </cell>
          <cell r="H482" t="str">
            <v>現金</v>
          </cell>
          <cell r="J482">
            <v>1160</v>
          </cell>
          <cell r="K482">
            <v>-5903989</v>
          </cell>
        </row>
        <row r="483">
          <cell r="A483">
            <v>476</v>
          </cell>
          <cell r="B483">
            <v>35915</v>
          </cell>
          <cell r="C483" t="str">
            <v>日経新聞</v>
          </cell>
          <cell r="D483" t="str">
            <v>ファミリーマート</v>
          </cell>
          <cell r="E483">
            <v>516</v>
          </cell>
          <cell r="F483" t="str">
            <v>図書研究費</v>
          </cell>
          <cell r="G483">
            <v>100</v>
          </cell>
          <cell r="H483" t="str">
            <v>現金</v>
          </cell>
          <cell r="J483">
            <v>130</v>
          </cell>
          <cell r="K483">
            <v>-5904119</v>
          </cell>
        </row>
        <row r="484">
          <cell r="A484">
            <v>477</v>
          </cell>
          <cell r="B484">
            <v>35915</v>
          </cell>
          <cell r="C484" t="str">
            <v>４月分給料</v>
          </cell>
          <cell r="D484" t="str">
            <v>細川万紀子</v>
          </cell>
          <cell r="E484">
            <v>501</v>
          </cell>
          <cell r="F484" t="str">
            <v>給料手当</v>
          </cell>
          <cell r="G484">
            <v>100</v>
          </cell>
          <cell r="H484" t="str">
            <v>現金</v>
          </cell>
          <cell r="J484">
            <v>463070</v>
          </cell>
          <cell r="K484">
            <v>-6367189</v>
          </cell>
        </row>
        <row r="485">
          <cell r="A485">
            <v>478</v>
          </cell>
          <cell r="B485">
            <v>35915</v>
          </cell>
          <cell r="C485" t="str">
            <v>源泉所得税</v>
          </cell>
          <cell r="D485" t="str">
            <v>細川万紀子</v>
          </cell>
          <cell r="E485">
            <v>501</v>
          </cell>
          <cell r="F485" t="str">
            <v>給料手当</v>
          </cell>
          <cell r="G485">
            <v>208</v>
          </cell>
          <cell r="H485" t="str">
            <v>預り金</v>
          </cell>
          <cell r="J485">
            <v>36930</v>
          </cell>
          <cell r="K485">
            <v>-6404119</v>
          </cell>
        </row>
        <row r="486">
          <cell r="A486">
            <v>479</v>
          </cell>
          <cell r="B486">
            <v>35916</v>
          </cell>
          <cell r="C486" t="str">
            <v>日経新聞</v>
          </cell>
          <cell r="D486" t="str">
            <v>ＬＡＷＳＯＮ</v>
          </cell>
          <cell r="E486">
            <v>516</v>
          </cell>
          <cell r="F486" t="str">
            <v>図書研究費</v>
          </cell>
          <cell r="G486">
            <v>100</v>
          </cell>
          <cell r="H486" t="str">
            <v>現金</v>
          </cell>
          <cell r="J486">
            <v>130</v>
          </cell>
          <cell r="K486">
            <v>-6404249</v>
          </cell>
        </row>
        <row r="487">
          <cell r="A487">
            <v>480</v>
          </cell>
          <cell r="B487">
            <v>35916</v>
          </cell>
          <cell r="C487" t="str">
            <v>茶菓子代</v>
          </cell>
          <cell r="D487" t="str">
            <v>ＬＡＷＳＯＮ</v>
          </cell>
          <cell r="E487">
            <v>503</v>
          </cell>
          <cell r="F487" t="str">
            <v>福利厚生費</v>
          </cell>
          <cell r="G487">
            <v>100</v>
          </cell>
          <cell r="H487" t="str">
            <v>現金</v>
          </cell>
          <cell r="J487">
            <v>375</v>
          </cell>
          <cell r="K487">
            <v>-6404624</v>
          </cell>
        </row>
        <row r="488">
          <cell r="A488">
            <v>481</v>
          </cell>
          <cell r="B488">
            <v>35916</v>
          </cell>
          <cell r="C488" t="str">
            <v>亀ｺﾝ竹下氏</v>
          </cell>
          <cell r="D488" t="str">
            <v>Semmer Field</v>
          </cell>
          <cell r="E488">
            <v>535</v>
          </cell>
          <cell r="F488" t="str">
            <v>会議費</v>
          </cell>
          <cell r="G488">
            <v>100</v>
          </cell>
          <cell r="H488" t="str">
            <v>現金</v>
          </cell>
          <cell r="J488">
            <v>787</v>
          </cell>
          <cell r="K488">
            <v>-6405411</v>
          </cell>
        </row>
        <row r="489">
          <cell r="A489">
            <v>482</v>
          </cell>
          <cell r="B489">
            <v>35916</v>
          </cell>
          <cell r="C489" t="str">
            <v>お茶代</v>
          </cell>
          <cell r="D489" t="str">
            <v>セイフー</v>
          </cell>
          <cell r="E489">
            <v>503</v>
          </cell>
          <cell r="F489" t="str">
            <v>福利厚生費</v>
          </cell>
          <cell r="G489">
            <v>100</v>
          </cell>
          <cell r="H489" t="str">
            <v>現金</v>
          </cell>
          <cell r="J489">
            <v>697</v>
          </cell>
          <cell r="K489">
            <v>-6406108</v>
          </cell>
        </row>
        <row r="490">
          <cell r="A490">
            <v>483</v>
          </cell>
          <cell r="B490">
            <v>35917</v>
          </cell>
          <cell r="C490" t="str">
            <v>コピー用紙、アダプタ</v>
          </cell>
          <cell r="D490" t="str">
            <v>ＬＡＯＸ</v>
          </cell>
          <cell r="E490">
            <v>524</v>
          </cell>
          <cell r="F490" t="str">
            <v>事務消耗品費</v>
          </cell>
          <cell r="G490">
            <v>100</v>
          </cell>
          <cell r="H490" t="str">
            <v>現金</v>
          </cell>
          <cell r="J490">
            <v>2436</v>
          </cell>
          <cell r="K490">
            <v>-6408544</v>
          </cell>
        </row>
        <row r="491">
          <cell r="A491">
            <v>484</v>
          </cell>
          <cell r="B491">
            <v>35917</v>
          </cell>
          <cell r="C491" t="str">
            <v>昼食代</v>
          </cell>
          <cell r="D491" t="str">
            <v>ＬＡＷＳＯＮ</v>
          </cell>
          <cell r="E491">
            <v>503</v>
          </cell>
          <cell r="F491" t="str">
            <v>福利厚生費</v>
          </cell>
          <cell r="G491">
            <v>100</v>
          </cell>
          <cell r="H491" t="str">
            <v>現金</v>
          </cell>
          <cell r="J491">
            <v>924</v>
          </cell>
          <cell r="K491">
            <v>-6409468</v>
          </cell>
        </row>
        <row r="492">
          <cell r="A492">
            <v>485</v>
          </cell>
          <cell r="B492">
            <v>35917</v>
          </cell>
          <cell r="C492" t="str">
            <v>お茶代</v>
          </cell>
          <cell r="D492" t="str">
            <v>am pm</v>
          </cell>
          <cell r="E492">
            <v>503</v>
          </cell>
          <cell r="F492" t="str">
            <v>福利厚生費</v>
          </cell>
          <cell r="G492">
            <v>100</v>
          </cell>
          <cell r="H492" t="str">
            <v>現金</v>
          </cell>
          <cell r="J492">
            <v>745</v>
          </cell>
          <cell r="K492">
            <v>-6410213</v>
          </cell>
        </row>
        <row r="493">
          <cell r="A493">
            <v>486</v>
          </cell>
          <cell r="B493">
            <v>35917</v>
          </cell>
          <cell r="C493" t="str">
            <v>夜食代</v>
          </cell>
          <cell r="D493" t="str">
            <v>丸正</v>
          </cell>
          <cell r="E493">
            <v>503</v>
          </cell>
          <cell r="F493" t="str">
            <v>福利厚生費</v>
          </cell>
          <cell r="G493">
            <v>100</v>
          </cell>
          <cell r="H493" t="str">
            <v>現金</v>
          </cell>
          <cell r="J493">
            <v>1495</v>
          </cell>
          <cell r="K493">
            <v>-6411708</v>
          </cell>
        </row>
        <row r="494">
          <cell r="A494">
            <v>487</v>
          </cell>
          <cell r="B494">
            <v>35917</v>
          </cell>
          <cell r="C494" t="str">
            <v>収納ＢＯＸ、消臭剤</v>
          </cell>
          <cell r="D494" t="str">
            <v>Champ de Herb</v>
          </cell>
          <cell r="E494">
            <v>525</v>
          </cell>
          <cell r="F494" t="str">
            <v>消耗品費</v>
          </cell>
          <cell r="G494">
            <v>100</v>
          </cell>
          <cell r="H494" t="str">
            <v>現金</v>
          </cell>
          <cell r="J494">
            <v>3307</v>
          </cell>
          <cell r="K494">
            <v>-6415015</v>
          </cell>
        </row>
        <row r="495">
          <cell r="A495">
            <v>488</v>
          </cell>
          <cell r="B495">
            <v>35918</v>
          </cell>
          <cell r="C495" t="str">
            <v>亀ｺﾝ永田氏</v>
          </cell>
          <cell r="D495" t="str">
            <v>ＲＡＫＥＲＵ</v>
          </cell>
          <cell r="E495">
            <v>535</v>
          </cell>
          <cell r="F495" t="str">
            <v>会議費</v>
          </cell>
          <cell r="G495">
            <v>100</v>
          </cell>
          <cell r="H495" t="str">
            <v>現金</v>
          </cell>
          <cell r="J495">
            <v>2362</v>
          </cell>
          <cell r="K495">
            <v>-6417377</v>
          </cell>
        </row>
        <row r="496">
          <cell r="A496">
            <v>489</v>
          </cell>
          <cell r="B496">
            <v>35918</v>
          </cell>
          <cell r="C496" t="str">
            <v>茶菓子代</v>
          </cell>
          <cell r="D496" t="str">
            <v>セイフー</v>
          </cell>
          <cell r="E496">
            <v>503</v>
          </cell>
          <cell r="F496" t="str">
            <v>福利厚生費</v>
          </cell>
          <cell r="G496">
            <v>100</v>
          </cell>
          <cell r="H496" t="str">
            <v>現金</v>
          </cell>
          <cell r="J496">
            <v>520</v>
          </cell>
          <cell r="K496">
            <v>-6417897</v>
          </cell>
        </row>
        <row r="497">
          <cell r="A497">
            <v>490</v>
          </cell>
          <cell r="B497">
            <v>35919</v>
          </cell>
          <cell r="C497" t="str">
            <v>茶菓子代</v>
          </cell>
          <cell r="D497" t="str">
            <v>伊勢丹</v>
          </cell>
          <cell r="E497">
            <v>503</v>
          </cell>
          <cell r="F497" t="str">
            <v>福利厚生費</v>
          </cell>
          <cell r="G497">
            <v>100</v>
          </cell>
          <cell r="H497" t="str">
            <v>現金</v>
          </cell>
          <cell r="J497">
            <v>808</v>
          </cell>
          <cell r="K497">
            <v>-6418705</v>
          </cell>
        </row>
        <row r="498">
          <cell r="A498">
            <v>491</v>
          </cell>
          <cell r="B498">
            <v>35919</v>
          </cell>
          <cell r="C498" t="str">
            <v>亀ｺﾝ霞氏</v>
          </cell>
          <cell r="D498" t="str">
            <v>ケンタッキー</v>
          </cell>
          <cell r="E498">
            <v>535</v>
          </cell>
          <cell r="F498" t="str">
            <v>会議費</v>
          </cell>
          <cell r="G498">
            <v>100</v>
          </cell>
          <cell r="H498" t="str">
            <v>現金</v>
          </cell>
          <cell r="J498">
            <v>840</v>
          </cell>
          <cell r="K498">
            <v>-6419545</v>
          </cell>
        </row>
        <row r="499">
          <cell r="A499">
            <v>492</v>
          </cell>
          <cell r="B499">
            <v>35919</v>
          </cell>
          <cell r="C499" t="str">
            <v>夜食代</v>
          </cell>
          <cell r="D499" t="str">
            <v>丸正</v>
          </cell>
          <cell r="E499">
            <v>503</v>
          </cell>
          <cell r="F499" t="str">
            <v>福利厚生費</v>
          </cell>
          <cell r="G499">
            <v>100</v>
          </cell>
          <cell r="H499" t="str">
            <v>現金</v>
          </cell>
          <cell r="J499">
            <v>621</v>
          </cell>
          <cell r="K499">
            <v>-6420166</v>
          </cell>
        </row>
        <row r="500">
          <cell r="A500">
            <v>493</v>
          </cell>
          <cell r="B500">
            <v>35920</v>
          </cell>
          <cell r="C500" t="str">
            <v>お茶代</v>
          </cell>
          <cell r="D500" t="str">
            <v>セイフー</v>
          </cell>
          <cell r="E500">
            <v>503</v>
          </cell>
          <cell r="F500" t="str">
            <v>福利厚生費</v>
          </cell>
          <cell r="G500">
            <v>100</v>
          </cell>
          <cell r="H500" t="str">
            <v>現金</v>
          </cell>
          <cell r="J500">
            <v>617</v>
          </cell>
          <cell r="K500">
            <v>-6420783</v>
          </cell>
        </row>
        <row r="501">
          <cell r="A501">
            <v>494</v>
          </cell>
          <cell r="B501">
            <v>35920</v>
          </cell>
          <cell r="C501" t="str">
            <v>亀ｺﾝ永田氏</v>
          </cell>
          <cell r="D501" t="str">
            <v>京樽</v>
          </cell>
          <cell r="E501">
            <v>535</v>
          </cell>
          <cell r="F501" t="str">
            <v>会議費</v>
          </cell>
          <cell r="G501">
            <v>100</v>
          </cell>
          <cell r="H501" t="str">
            <v>現金</v>
          </cell>
          <cell r="J501">
            <v>2835</v>
          </cell>
          <cell r="K501">
            <v>-6423618</v>
          </cell>
        </row>
        <row r="502">
          <cell r="A502">
            <v>495</v>
          </cell>
          <cell r="B502">
            <v>35920</v>
          </cell>
          <cell r="C502" t="str">
            <v>夜食代</v>
          </cell>
          <cell r="D502" t="str">
            <v>ＬＡＷＳＯＮ</v>
          </cell>
          <cell r="E502">
            <v>503</v>
          </cell>
          <cell r="F502" t="str">
            <v>福利厚生費</v>
          </cell>
          <cell r="G502">
            <v>100</v>
          </cell>
          <cell r="H502" t="str">
            <v>現金</v>
          </cell>
          <cell r="J502">
            <v>759</v>
          </cell>
          <cell r="K502">
            <v>-6424377</v>
          </cell>
        </row>
        <row r="503">
          <cell r="A503">
            <v>496</v>
          </cell>
          <cell r="B503">
            <v>35921</v>
          </cell>
          <cell r="C503" t="str">
            <v>外注費</v>
          </cell>
          <cell r="D503" t="str">
            <v>山口 正則</v>
          </cell>
          <cell r="E503">
            <v>464</v>
          </cell>
          <cell r="F503" t="str">
            <v>外注費</v>
          </cell>
          <cell r="G503">
            <v>114</v>
          </cell>
          <cell r="H503" t="str">
            <v>普通預金</v>
          </cell>
          <cell r="J503">
            <v>360000</v>
          </cell>
          <cell r="K503">
            <v>-6784377</v>
          </cell>
        </row>
        <row r="504">
          <cell r="A504">
            <v>497</v>
          </cell>
          <cell r="B504">
            <v>35921</v>
          </cell>
          <cell r="C504" t="str">
            <v>源泉所得税</v>
          </cell>
          <cell r="D504" t="str">
            <v>山口 正則</v>
          </cell>
          <cell r="E504">
            <v>464</v>
          </cell>
          <cell r="F504" t="str">
            <v>外注費</v>
          </cell>
          <cell r="G504">
            <v>208</v>
          </cell>
          <cell r="H504" t="str">
            <v>預り金</v>
          </cell>
          <cell r="J504">
            <v>40000</v>
          </cell>
          <cell r="K504">
            <v>-6824377</v>
          </cell>
        </row>
        <row r="505">
          <cell r="A505">
            <v>498</v>
          </cell>
          <cell r="B505">
            <v>35921</v>
          </cell>
          <cell r="C505" t="str">
            <v>振り込み手数料</v>
          </cell>
          <cell r="D505" t="str">
            <v>東京三菱Ｂ／Ｋ</v>
          </cell>
          <cell r="E505">
            <v>512</v>
          </cell>
          <cell r="F505" t="str">
            <v>支払手数料</v>
          </cell>
          <cell r="G505">
            <v>114</v>
          </cell>
          <cell r="H505" t="str">
            <v>普通預金</v>
          </cell>
          <cell r="J505">
            <v>472</v>
          </cell>
          <cell r="K505">
            <v>-6824849</v>
          </cell>
        </row>
        <row r="506">
          <cell r="A506">
            <v>499</v>
          </cell>
          <cell r="B506">
            <v>35921</v>
          </cell>
          <cell r="C506" t="str">
            <v>亀ｺﾝ永田氏、竹下氏、霞氏</v>
          </cell>
          <cell r="E506">
            <v>535</v>
          </cell>
          <cell r="F506" t="str">
            <v>会議費</v>
          </cell>
          <cell r="G506">
            <v>100</v>
          </cell>
          <cell r="H506" t="str">
            <v>現金</v>
          </cell>
          <cell r="J506">
            <v>1224</v>
          </cell>
          <cell r="K506">
            <v>-6826073</v>
          </cell>
        </row>
        <row r="507">
          <cell r="A507">
            <v>500</v>
          </cell>
          <cell r="B507">
            <v>35921</v>
          </cell>
          <cell r="C507" t="str">
            <v>便箋、封筒</v>
          </cell>
          <cell r="D507" t="str">
            <v>ＣＬＩＰＳ</v>
          </cell>
          <cell r="E507">
            <v>524</v>
          </cell>
          <cell r="F507" t="str">
            <v>事務消耗品費</v>
          </cell>
          <cell r="G507">
            <v>100</v>
          </cell>
          <cell r="H507" t="str">
            <v>現金</v>
          </cell>
          <cell r="J507">
            <v>714</v>
          </cell>
          <cell r="K507">
            <v>-6826787</v>
          </cell>
        </row>
        <row r="508">
          <cell r="A508">
            <v>501</v>
          </cell>
          <cell r="B508">
            <v>35921</v>
          </cell>
          <cell r="C508" t="str">
            <v>夜食代</v>
          </cell>
          <cell r="D508" t="str">
            <v>丸正</v>
          </cell>
          <cell r="E508">
            <v>503</v>
          </cell>
          <cell r="F508" t="str">
            <v>福利厚生費</v>
          </cell>
          <cell r="G508">
            <v>100</v>
          </cell>
          <cell r="H508" t="str">
            <v>現金</v>
          </cell>
          <cell r="J508">
            <v>1113</v>
          </cell>
          <cell r="K508">
            <v>-6827900</v>
          </cell>
        </row>
        <row r="509">
          <cell r="A509">
            <v>502</v>
          </cell>
          <cell r="B509">
            <v>35922</v>
          </cell>
          <cell r="C509" t="str">
            <v>経営関係</v>
          </cell>
          <cell r="D509" t="str">
            <v>ブックバーン</v>
          </cell>
          <cell r="E509">
            <v>516</v>
          </cell>
          <cell r="F509" t="str">
            <v>図書研究費</v>
          </cell>
          <cell r="G509">
            <v>100</v>
          </cell>
          <cell r="H509" t="str">
            <v>現金</v>
          </cell>
          <cell r="J509">
            <v>1799</v>
          </cell>
          <cell r="K509">
            <v>-6829699</v>
          </cell>
        </row>
        <row r="510">
          <cell r="A510">
            <v>503</v>
          </cell>
          <cell r="B510">
            <v>35922</v>
          </cell>
          <cell r="C510" t="str">
            <v>朝食代</v>
          </cell>
          <cell r="D510" t="str">
            <v>ＬＡＷＳＯＮ</v>
          </cell>
          <cell r="E510">
            <v>503</v>
          </cell>
          <cell r="F510" t="str">
            <v>福利厚生費</v>
          </cell>
          <cell r="G510">
            <v>100</v>
          </cell>
          <cell r="H510" t="str">
            <v>現金</v>
          </cell>
          <cell r="J510">
            <v>1218</v>
          </cell>
          <cell r="K510">
            <v>-6830917</v>
          </cell>
        </row>
        <row r="511">
          <cell r="A511">
            <v>504</v>
          </cell>
          <cell r="B511">
            <v>35922</v>
          </cell>
          <cell r="C511" t="str">
            <v>出金伝票、コピー用紙</v>
          </cell>
          <cell r="D511" t="str">
            <v>ＯＡストアエブリディ</v>
          </cell>
          <cell r="E511">
            <v>524</v>
          </cell>
          <cell r="F511" t="str">
            <v>事務消耗品費</v>
          </cell>
          <cell r="G511">
            <v>100</v>
          </cell>
          <cell r="H511" t="str">
            <v>現金</v>
          </cell>
          <cell r="J511">
            <v>830</v>
          </cell>
          <cell r="K511">
            <v>-6831747</v>
          </cell>
        </row>
        <row r="512">
          <cell r="A512">
            <v>505</v>
          </cell>
          <cell r="B512">
            <v>35922</v>
          </cell>
          <cell r="C512" t="str">
            <v>茶菓子代</v>
          </cell>
          <cell r="D512" t="str">
            <v>ミニストップ</v>
          </cell>
          <cell r="E512">
            <v>503</v>
          </cell>
          <cell r="F512" t="str">
            <v>福利厚生費</v>
          </cell>
          <cell r="G512">
            <v>100</v>
          </cell>
          <cell r="H512" t="str">
            <v>現金</v>
          </cell>
          <cell r="J512">
            <v>570</v>
          </cell>
          <cell r="K512">
            <v>-6832317</v>
          </cell>
        </row>
        <row r="513">
          <cell r="A513">
            <v>506</v>
          </cell>
          <cell r="B513">
            <v>35923</v>
          </cell>
          <cell r="C513" t="str">
            <v>お茶代</v>
          </cell>
          <cell r="D513" t="str">
            <v>伊勢丹</v>
          </cell>
          <cell r="E513">
            <v>503</v>
          </cell>
          <cell r="F513" t="str">
            <v>福利厚生費</v>
          </cell>
          <cell r="G513">
            <v>100</v>
          </cell>
          <cell r="H513" t="str">
            <v>現金</v>
          </cell>
          <cell r="J513">
            <v>600</v>
          </cell>
          <cell r="K513">
            <v>-6832917</v>
          </cell>
        </row>
        <row r="514">
          <cell r="A514">
            <v>507</v>
          </cell>
          <cell r="B514">
            <v>35923</v>
          </cell>
          <cell r="C514" t="str">
            <v>亀ｺﾝ竹下氏</v>
          </cell>
          <cell r="D514" t="str">
            <v>モスバーガ</v>
          </cell>
          <cell r="E514">
            <v>535</v>
          </cell>
          <cell r="F514" t="str">
            <v>会議費</v>
          </cell>
          <cell r="G514">
            <v>100</v>
          </cell>
          <cell r="H514" t="str">
            <v>現金</v>
          </cell>
          <cell r="J514">
            <v>777</v>
          </cell>
          <cell r="K514">
            <v>-6833694</v>
          </cell>
        </row>
        <row r="515">
          <cell r="A515">
            <v>508</v>
          </cell>
          <cell r="B515">
            <v>35923</v>
          </cell>
          <cell r="C515" t="str">
            <v>エディターソフト</v>
          </cell>
          <cell r="D515" t="str">
            <v>ビックパソコン館</v>
          </cell>
          <cell r="E515">
            <v>516</v>
          </cell>
          <cell r="F515" t="str">
            <v>図書研究費</v>
          </cell>
          <cell r="G515">
            <v>100</v>
          </cell>
          <cell r="H515" t="str">
            <v>現金</v>
          </cell>
          <cell r="J515">
            <v>7317</v>
          </cell>
          <cell r="K515">
            <v>-6841011</v>
          </cell>
        </row>
        <row r="516">
          <cell r="A516">
            <v>509</v>
          </cell>
          <cell r="B516">
            <v>35924</v>
          </cell>
          <cell r="C516" t="str">
            <v>夜食代</v>
          </cell>
          <cell r="D516" t="str">
            <v>ＬＡＷＳＯＮ</v>
          </cell>
          <cell r="E516">
            <v>503</v>
          </cell>
          <cell r="F516" t="str">
            <v>福利厚生費</v>
          </cell>
          <cell r="G516">
            <v>100</v>
          </cell>
          <cell r="H516" t="str">
            <v>現金</v>
          </cell>
          <cell r="J516">
            <v>4829</v>
          </cell>
          <cell r="K516">
            <v>-6845840</v>
          </cell>
        </row>
        <row r="517">
          <cell r="A517">
            <v>510</v>
          </cell>
          <cell r="B517">
            <v>35924</v>
          </cell>
          <cell r="C517" t="str">
            <v>昼食代</v>
          </cell>
          <cell r="D517" t="str">
            <v>セブン・イレブン</v>
          </cell>
          <cell r="E517">
            <v>503</v>
          </cell>
          <cell r="F517" t="str">
            <v>福利厚生費</v>
          </cell>
          <cell r="G517">
            <v>100</v>
          </cell>
          <cell r="H517" t="str">
            <v>現金</v>
          </cell>
          <cell r="J517">
            <v>1354</v>
          </cell>
          <cell r="K517">
            <v>-6847194</v>
          </cell>
        </row>
        <row r="518">
          <cell r="A518">
            <v>511</v>
          </cell>
          <cell r="B518">
            <v>35925</v>
          </cell>
          <cell r="C518" t="str">
            <v>夜食代</v>
          </cell>
          <cell r="D518" t="str">
            <v>ＬＡＷＳＯＮ</v>
          </cell>
          <cell r="E518">
            <v>503</v>
          </cell>
          <cell r="F518" t="str">
            <v>福利厚生費</v>
          </cell>
          <cell r="G518">
            <v>100</v>
          </cell>
          <cell r="H518" t="str">
            <v>現金</v>
          </cell>
          <cell r="J518">
            <v>3160</v>
          </cell>
          <cell r="K518">
            <v>-6850354</v>
          </cell>
        </row>
        <row r="519">
          <cell r="A519">
            <v>512</v>
          </cell>
          <cell r="B519">
            <v>35925</v>
          </cell>
          <cell r="C519" t="str">
            <v>お茶代</v>
          </cell>
          <cell r="D519" t="str">
            <v>am pm</v>
          </cell>
          <cell r="E519">
            <v>503</v>
          </cell>
          <cell r="F519" t="str">
            <v>福利厚生費</v>
          </cell>
          <cell r="G519">
            <v>100</v>
          </cell>
          <cell r="H519" t="str">
            <v>現金</v>
          </cell>
          <cell r="J519">
            <v>433</v>
          </cell>
          <cell r="K519">
            <v>-6850787</v>
          </cell>
        </row>
        <row r="520">
          <cell r="A520">
            <v>513</v>
          </cell>
          <cell r="B520">
            <v>35925</v>
          </cell>
          <cell r="C520" t="str">
            <v>経済関係</v>
          </cell>
          <cell r="D520" t="str">
            <v>良文堂書店</v>
          </cell>
          <cell r="E520">
            <v>516</v>
          </cell>
          <cell r="F520" t="str">
            <v>図書研究費</v>
          </cell>
          <cell r="G520">
            <v>100</v>
          </cell>
          <cell r="H520" t="str">
            <v>現金</v>
          </cell>
          <cell r="J520">
            <v>2621</v>
          </cell>
          <cell r="K520">
            <v>-6853408</v>
          </cell>
        </row>
        <row r="521">
          <cell r="A521">
            <v>514</v>
          </cell>
          <cell r="B521">
            <v>35925</v>
          </cell>
          <cell r="C521" t="str">
            <v>亀ｺﾝ宛資料送付代</v>
          </cell>
          <cell r="D521" t="str">
            <v>ヤマト運輸</v>
          </cell>
          <cell r="E521">
            <v>511</v>
          </cell>
          <cell r="F521" t="str">
            <v>運賃</v>
          </cell>
          <cell r="G521">
            <v>100</v>
          </cell>
          <cell r="H521" t="str">
            <v>現金</v>
          </cell>
          <cell r="J521">
            <v>850</v>
          </cell>
          <cell r="K521">
            <v>-6854258</v>
          </cell>
        </row>
        <row r="522">
          <cell r="A522">
            <v>515</v>
          </cell>
          <cell r="B522">
            <v>35926</v>
          </cell>
          <cell r="C522" t="str">
            <v>トイレットペーパー</v>
          </cell>
          <cell r="D522" t="str">
            <v>ニュードラッグ</v>
          </cell>
          <cell r="E522">
            <v>525</v>
          </cell>
          <cell r="F522" t="str">
            <v>消耗品費</v>
          </cell>
          <cell r="G522">
            <v>100</v>
          </cell>
          <cell r="H522" t="str">
            <v>現金</v>
          </cell>
          <cell r="J522">
            <v>1043</v>
          </cell>
          <cell r="K522">
            <v>-6855301</v>
          </cell>
        </row>
        <row r="523">
          <cell r="A523">
            <v>516</v>
          </cell>
          <cell r="B523">
            <v>35927</v>
          </cell>
          <cell r="C523" t="str">
            <v>茶菓子代</v>
          </cell>
          <cell r="D523" t="str">
            <v>ＡＳＡＮＯＹＡ</v>
          </cell>
          <cell r="E523">
            <v>503</v>
          </cell>
          <cell r="F523" t="str">
            <v>福利厚生費</v>
          </cell>
          <cell r="G523">
            <v>100</v>
          </cell>
          <cell r="H523" t="str">
            <v>現金</v>
          </cell>
          <cell r="J523">
            <v>1090</v>
          </cell>
          <cell r="K523">
            <v>-6856391</v>
          </cell>
        </row>
        <row r="524">
          <cell r="A524">
            <v>517</v>
          </cell>
          <cell r="B524">
            <v>35927</v>
          </cell>
          <cell r="C524" t="str">
            <v>お茶代</v>
          </cell>
          <cell r="D524" t="str">
            <v>ＬＡＷＳＯＮ</v>
          </cell>
          <cell r="E524">
            <v>503</v>
          </cell>
          <cell r="F524" t="str">
            <v>福利厚生費</v>
          </cell>
          <cell r="G524">
            <v>100</v>
          </cell>
          <cell r="H524" t="str">
            <v>現金</v>
          </cell>
          <cell r="J524">
            <v>417</v>
          </cell>
          <cell r="K524">
            <v>-6856808</v>
          </cell>
        </row>
        <row r="525">
          <cell r="A525">
            <v>518</v>
          </cell>
          <cell r="B525">
            <v>35927</v>
          </cell>
          <cell r="C525" t="str">
            <v>亀ｺﾝ永田氏</v>
          </cell>
          <cell r="D525" t="str">
            <v>Ｄｅｎｎｙ’Ｓ</v>
          </cell>
          <cell r="E525">
            <v>535</v>
          </cell>
          <cell r="F525" t="str">
            <v>会議費</v>
          </cell>
          <cell r="G525">
            <v>100</v>
          </cell>
          <cell r="H525" t="str">
            <v>現金</v>
          </cell>
          <cell r="J525">
            <v>2437</v>
          </cell>
          <cell r="K525">
            <v>-6859245</v>
          </cell>
        </row>
        <row r="526">
          <cell r="A526">
            <v>519</v>
          </cell>
          <cell r="B526">
            <v>35928</v>
          </cell>
          <cell r="C526" t="str">
            <v>茶菓子代</v>
          </cell>
          <cell r="D526" t="str">
            <v>セブン・イレブン</v>
          </cell>
          <cell r="E526">
            <v>503</v>
          </cell>
          <cell r="F526" t="str">
            <v>福利厚生費</v>
          </cell>
          <cell r="G526">
            <v>100</v>
          </cell>
          <cell r="H526" t="str">
            <v>現金</v>
          </cell>
          <cell r="J526">
            <v>365</v>
          </cell>
          <cell r="K526">
            <v>-6859610</v>
          </cell>
        </row>
        <row r="527">
          <cell r="A527">
            <v>520</v>
          </cell>
          <cell r="B527">
            <v>35928</v>
          </cell>
          <cell r="C527" t="str">
            <v>源泉所得税支払</v>
          </cell>
          <cell r="D527" t="str">
            <v>四谷税務署</v>
          </cell>
          <cell r="E527">
            <v>208</v>
          </cell>
          <cell r="F527" t="str">
            <v>預り金</v>
          </cell>
          <cell r="G527">
            <v>114</v>
          </cell>
          <cell r="H527" t="str">
            <v>普通預金</v>
          </cell>
          <cell r="J527">
            <v>80000</v>
          </cell>
          <cell r="K527">
            <v>-6939610</v>
          </cell>
        </row>
        <row r="528">
          <cell r="A528">
            <v>521</v>
          </cell>
          <cell r="B528">
            <v>35929</v>
          </cell>
          <cell r="C528" t="str">
            <v>夜食代</v>
          </cell>
          <cell r="D528" t="str">
            <v>丸正</v>
          </cell>
          <cell r="E528">
            <v>503</v>
          </cell>
          <cell r="F528" t="str">
            <v>福利厚生費</v>
          </cell>
          <cell r="G528">
            <v>100</v>
          </cell>
          <cell r="H528" t="str">
            <v>現金</v>
          </cell>
          <cell r="J528">
            <v>1066</v>
          </cell>
          <cell r="K528">
            <v>-6940676</v>
          </cell>
        </row>
        <row r="529">
          <cell r="A529">
            <v>522</v>
          </cell>
          <cell r="B529">
            <v>35929</v>
          </cell>
          <cell r="C529" t="str">
            <v>ｺﾝﾋﾟｭｰﾀ雑誌</v>
          </cell>
          <cell r="D529" t="str">
            <v>宮子書店</v>
          </cell>
          <cell r="E529">
            <v>516</v>
          </cell>
          <cell r="F529" t="str">
            <v>図書研究費</v>
          </cell>
          <cell r="G529">
            <v>100</v>
          </cell>
          <cell r="H529" t="str">
            <v>現金</v>
          </cell>
          <cell r="J529">
            <v>250</v>
          </cell>
          <cell r="K529">
            <v>-6940926</v>
          </cell>
        </row>
        <row r="530">
          <cell r="A530">
            <v>523</v>
          </cell>
          <cell r="B530">
            <v>35929</v>
          </cell>
          <cell r="C530" t="str">
            <v>亀ｺﾝ竹下氏</v>
          </cell>
          <cell r="D530" t="str">
            <v>ピジョン</v>
          </cell>
          <cell r="E530">
            <v>535</v>
          </cell>
          <cell r="F530" t="str">
            <v>会議費</v>
          </cell>
          <cell r="G530">
            <v>100</v>
          </cell>
          <cell r="H530" t="str">
            <v>現金</v>
          </cell>
          <cell r="J530">
            <v>4200</v>
          </cell>
          <cell r="K530">
            <v>-6945126</v>
          </cell>
        </row>
        <row r="531">
          <cell r="A531">
            <v>524</v>
          </cell>
          <cell r="B531">
            <v>35930</v>
          </cell>
          <cell r="C531" t="str">
            <v>お茶代</v>
          </cell>
          <cell r="D531" t="str">
            <v>丸正</v>
          </cell>
          <cell r="E531">
            <v>503</v>
          </cell>
          <cell r="F531" t="str">
            <v>福利厚生費</v>
          </cell>
          <cell r="G531">
            <v>100</v>
          </cell>
          <cell r="H531" t="str">
            <v>現金</v>
          </cell>
          <cell r="J531">
            <v>131</v>
          </cell>
          <cell r="K531">
            <v>-6945257</v>
          </cell>
        </row>
        <row r="532">
          <cell r="A532">
            <v>525</v>
          </cell>
          <cell r="B532">
            <v>35930</v>
          </cell>
          <cell r="C532" t="str">
            <v>亀ｺﾝ竹下氏</v>
          </cell>
          <cell r="E532">
            <v>535</v>
          </cell>
          <cell r="F532" t="str">
            <v>会議費</v>
          </cell>
          <cell r="G532">
            <v>100</v>
          </cell>
          <cell r="H532" t="str">
            <v>現金</v>
          </cell>
          <cell r="J532">
            <v>880</v>
          </cell>
          <cell r="K532">
            <v>-6946137</v>
          </cell>
        </row>
        <row r="533">
          <cell r="A533">
            <v>526</v>
          </cell>
          <cell r="B533">
            <v>35930</v>
          </cell>
          <cell r="C533" t="str">
            <v>電話料金</v>
          </cell>
          <cell r="D533" t="str">
            <v>日本テレコム</v>
          </cell>
          <cell r="E533">
            <v>523</v>
          </cell>
          <cell r="F533" t="str">
            <v>通信費</v>
          </cell>
          <cell r="G533">
            <v>114</v>
          </cell>
          <cell r="H533" t="str">
            <v>普通預金</v>
          </cell>
          <cell r="J533">
            <v>73</v>
          </cell>
          <cell r="K533">
            <v>-6946210</v>
          </cell>
        </row>
        <row r="534">
          <cell r="A534">
            <v>527</v>
          </cell>
          <cell r="B534">
            <v>35930</v>
          </cell>
          <cell r="C534" t="str">
            <v>電話料金</v>
          </cell>
          <cell r="D534" t="str">
            <v>NTT</v>
          </cell>
          <cell r="E534">
            <v>523</v>
          </cell>
          <cell r="F534" t="str">
            <v>通信費</v>
          </cell>
          <cell r="G534">
            <v>114</v>
          </cell>
          <cell r="H534" t="str">
            <v>普通預金</v>
          </cell>
          <cell r="J534">
            <v>3979</v>
          </cell>
          <cell r="K534">
            <v>-6950189</v>
          </cell>
        </row>
        <row r="535">
          <cell r="A535">
            <v>528</v>
          </cell>
          <cell r="B535">
            <v>35931</v>
          </cell>
          <cell r="C535" t="str">
            <v>ｺﾝﾋﾟｭｰﾀ関係</v>
          </cell>
          <cell r="D535" t="str">
            <v>あおい書店</v>
          </cell>
          <cell r="E535">
            <v>516</v>
          </cell>
          <cell r="F535" t="str">
            <v>図書研究費</v>
          </cell>
          <cell r="G535">
            <v>100</v>
          </cell>
          <cell r="H535" t="str">
            <v>現金</v>
          </cell>
          <cell r="J535">
            <v>3944</v>
          </cell>
          <cell r="K535">
            <v>-6954133</v>
          </cell>
        </row>
        <row r="536">
          <cell r="A536">
            <v>529</v>
          </cell>
          <cell r="B536">
            <v>35931</v>
          </cell>
          <cell r="C536" t="str">
            <v>栄養ドリンク</v>
          </cell>
          <cell r="D536" t="str">
            <v>鈴井薬局</v>
          </cell>
          <cell r="E536">
            <v>503</v>
          </cell>
          <cell r="F536" t="str">
            <v>福利厚生費</v>
          </cell>
          <cell r="G536">
            <v>100</v>
          </cell>
          <cell r="H536" t="str">
            <v>現金</v>
          </cell>
          <cell r="J536">
            <v>1524</v>
          </cell>
          <cell r="K536">
            <v>-6955657</v>
          </cell>
        </row>
        <row r="537">
          <cell r="A537">
            <v>530</v>
          </cell>
          <cell r="B537">
            <v>35931</v>
          </cell>
          <cell r="C537" t="str">
            <v>昼食代</v>
          </cell>
          <cell r="D537" t="str">
            <v>サンクック</v>
          </cell>
          <cell r="E537">
            <v>503</v>
          </cell>
          <cell r="F537" t="str">
            <v>福利厚生費</v>
          </cell>
          <cell r="G537">
            <v>100</v>
          </cell>
          <cell r="H537" t="str">
            <v>現金</v>
          </cell>
          <cell r="J537">
            <v>2063</v>
          </cell>
          <cell r="K537">
            <v>-6957720</v>
          </cell>
        </row>
        <row r="538">
          <cell r="A538">
            <v>531</v>
          </cell>
          <cell r="B538">
            <v>35931</v>
          </cell>
          <cell r="C538" t="str">
            <v>茶菓子代</v>
          </cell>
          <cell r="D538" t="str">
            <v>一口茶屋</v>
          </cell>
          <cell r="E538">
            <v>503</v>
          </cell>
          <cell r="F538" t="str">
            <v>福利厚生費</v>
          </cell>
          <cell r="G538">
            <v>100</v>
          </cell>
          <cell r="H538" t="str">
            <v>現金</v>
          </cell>
          <cell r="J538">
            <v>370</v>
          </cell>
          <cell r="K538">
            <v>-6958090</v>
          </cell>
        </row>
        <row r="539">
          <cell r="A539">
            <v>532</v>
          </cell>
          <cell r="B539">
            <v>35931</v>
          </cell>
          <cell r="C539" t="str">
            <v>亀ｺﾝ霞氏</v>
          </cell>
          <cell r="D539" t="str">
            <v>大黒屋</v>
          </cell>
          <cell r="E539">
            <v>535</v>
          </cell>
          <cell r="F539" t="str">
            <v>会議費</v>
          </cell>
          <cell r="G539">
            <v>100</v>
          </cell>
          <cell r="H539" t="str">
            <v>現金</v>
          </cell>
          <cell r="J539">
            <v>4305</v>
          </cell>
          <cell r="K539">
            <v>-6962395</v>
          </cell>
        </row>
        <row r="540">
          <cell r="A540">
            <v>533</v>
          </cell>
          <cell r="B540">
            <v>35932</v>
          </cell>
          <cell r="C540" t="str">
            <v>夜食代</v>
          </cell>
          <cell r="D540" t="str">
            <v>セブン・イレブン</v>
          </cell>
          <cell r="E540">
            <v>503</v>
          </cell>
          <cell r="F540" t="str">
            <v>福利厚生費</v>
          </cell>
          <cell r="G540">
            <v>100</v>
          </cell>
          <cell r="H540" t="str">
            <v>現金</v>
          </cell>
          <cell r="J540">
            <v>848</v>
          </cell>
          <cell r="K540">
            <v>-6963243</v>
          </cell>
        </row>
        <row r="541">
          <cell r="A541">
            <v>534</v>
          </cell>
          <cell r="B541">
            <v>35932</v>
          </cell>
          <cell r="C541" t="str">
            <v>電球</v>
          </cell>
          <cell r="D541" t="str">
            <v>セイフー</v>
          </cell>
          <cell r="E541">
            <v>525</v>
          </cell>
          <cell r="F541" t="str">
            <v>消耗品費</v>
          </cell>
          <cell r="G541">
            <v>100</v>
          </cell>
          <cell r="H541" t="str">
            <v>現金</v>
          </cell>
          <cell r="J541">
            <v>1239</v>
          </cell>
          <cell r="K541">
            <v>-6964482</v>
          </cell>
        </row>
        <row r="542">
          <cell r="A542">
            <v>535</v>
          </cell>
          <cell r="B542">
            <v>35932</v>
          </cell>
          <cell r="C542" t="str">
            <v>お茶代</v>
          </cell>
          <cell r="D542" t="str">
            <v>セイフー</v>
          </cell>
          <cell r="E542">
            <v>503</v>
          </cell>
          <cell r="F542" t="str">
            <v>福利厚生費</v>
          </cell>
          <cell r="G542">
            <v>100</v>
          </cell>
          <cell r="H542" t="str">
            <v>現金</v>
          </cell>
          <cell r="J542">
            <v>271</v>
          </cell>
          <cell r="K542">
            <v>-6964753</v>
          </cell>
        </row>
        <row r="543">
          <cell r="A543">
            <v>536</v>
          </cell>
          <cell r="B543">
            <v>35932</v>
          </cell>
          <cell r="C543" t="str">
            <v>亀ｺﾝ加藤氏</v>
          </cell>
          <cell r="D543" t="str">
            <v>フレッシュネスバーガー</v>
          </cell>
          <cell r="E543">
            <v>535</v>
          </cell>
          <cell r="F543" t="str">
            <v>会議費</v>
          </cell>
          <cell r="G543">
            <v>100</v>
          </cell>
          <cell r="H543" t="str">
            <v>現金</v>
          </cell>
          <cell r="J543">
            <v>1438</v>
          </cell>
          <cell r="K543">
            <v>-6966191</v>
          </cell>
        </row>
        <row r="544">
          <cell r="A544">
            <v>537</v>
          </cell>
          <cell r="B544">
            <v>35933</v>
          </cell>
          <cell r="C544" t="str">
            <v>水道料金</v>
          </cell>
          <cell r="D544" t="str">
            <v>東京水道局</v>
          </cell>
          <cell r="E544">
            <v>530</v>
          </cell>
          <cell r="F544" t="str">
            <v>水道光熱費</v>
          </cell>
          <cell r="G544">
            <v>114</v>
          </cell>
          <cell r="H544" t="str">
            <v>普通預金</v>
          </cell>
          <cell r="J544">
            <v>4978</v>
          </cell>
          <cell r="K544">
            <v>-6971169</v>
          </cell>
        </row>
        <row r="545">
          <cell r="A545">
            <v>538</v>
          </cell>
          <cell r="B545">
            <v>35933</v>
          </cell>
          <cell r="C545" t="str">
            <v>亀ｺﾝ霞氏</v>
          </cell>
          <cell r="E545">
            <v>535</v>
          </cell>
          <cell r="F545" t="str">
            <v>会議費</v>
          </cell>
          <cell r="G545">
            <v>100</v>
          </cell>
          <cell r="H545" t="str">
            <v>現金</v>
          </cell>
          <cell r="J545">
            <v>600</v>
          </cell>
          <cell r="K545">
            <v>-6971769</v>
          </cell>
        </row>
        <row r="546">
          <cell r="A546">
            <v>539</v>
          </cell>
          <cell r="B546">
            <v>35933</v>
          </cell>
          <cell r="C546" t="str">
            <v>電気料金</v>
          </cell>
          <cell r="D546" t="str">
            <v>東京電力</v>
          </cell>
          <cell r="E546">
            <v>530</v>
          </cell>
          <cell r="F546" t="str">
            <v>水道光熱費</v>
          </cell>
          <cell r="G546">
            <v>114</v>
          </cell>
          <cell r="H546" t="str">
            <v>普通預金</v>
          </cell>
          <cell r="J546">
            <v>5575</v>
          </cell>
          <cell r="K546">
            <v>-6977344</v>
          </cell>
        </row>
        <row r="547">
          <cell r="A547">
            <v>540</v>
          </cell>
          <cell r="B547">
            <v>35934</v>
          </cell>
          <cell r="C547" t="str">
            <v>昼食代</v>
          </cell>
          <cell r="D547" t="str">
            <v>ＬＡＷＳＯＮ</v>
          </cell>
          <cell r="E547">
            <v>503</v>
          </cell>
          <cell r="F547" t="str">
            <v>福利厚生費</v>
          </cell>
          <cell r="G547">
            <v>100</v>
          </cell>
          <cell r="H547" t="str">
            <v>現金</v>
          </cell>
          <cell r="J547">
            <v>1619</v>
          </cell>
          <cell r="K547">
            <v>-6978963</v>
          </cell>
        </row>
        <row r="548">
          <cell r="A548">
            <v>541</v>
          </cell>
          <cell r="B548">
            <v>35934</v>
          </cell>
          <cell r="C548" t="str">
            <v>ファイル、書類入れ</v>
          </cell>
          <cell r="D548" t="str">
            <v>紀伊国屋書店</v>
          </cell>
          <cell r="E548">
            <v>524</v>
          </cell>
          <cell r="F548" t="str">
            <v>事務消耗品費</v>
          </cell>
          <cell r="G548">
            <v>100</v>
          </cell>
          <cell r="H548" t="str">
            <v>現金</v>
          </cell>
          <cell r="J548">
            <v>10836</v>
          </cell>
          <cell r="K548">
            <v>-6989799</v>
          </cell>
        </row>
        <row r="549">
          <cell r="A549">
            <v>542</v>
          </cell>
          <cell r="B549">
            <v>35934</v>
          </cell>
          <cell r="C549" t="str">
            <v>亀ｺﾝ加藤氏</v>
          </cell>
          <cell r="D549" t="str">
            <v>モスバーガ</v>
          </cell>
          <cell r="E549">
            <v>535</v>
          </cell>
          <cell r="F549" t="str">
            <v>会議費</v>
          </cell>
          <cell r="G549">
            <v>100</v>
          </cell>
          <cell r="H549" t="str">
            <v>現金</v>
          </cell>
          <cell r="J549">
            <v>735</v>
          </cell>
          <cell r="K549">
            <v>-6990534</v>
          </cell>
        </row>
        <row r="550">
          <cell r="A550">
            <v>543</v>
          </cell>
          <cell r="B550">
            <v>35935</v>
          </cell>
          <cell r="C550" t="str">
            <v>亀ｺﾝ永田氏</v>
          </cell>
          <cell r="D550" t="str">
            <v>Ｄｅｎｎｙ’Ｓ</v>
          </cell>
          <cell r="E550">
            <v>535</v>
          </cell>
          <cell r="F550" t="str">
            <v>会議費</v>
          </cell>
          <cell r="G550">
            <v>100</v>
          </cell>
          <cell r="H550" t="str">
            <v>現金</v>
          </cell>
          <cell r="J550">
            <v>3176</v>
          </cell>
          <cell r="K550">
            <v>-6993710</v>
          </cell>
        </row>
        <row r="551">
          <cell r="A551">
            <v>544</v>
          </cell>
          <cell r="B551">
            <v>35935</v>
          </cell>
          <cell r="C551" t="str">
            <v>お茶代</v>
          </cell>
          <cell r="D551" t="str">
            <v>am pm</v>
          </cell>
          <cell r="E551">
            <v>503</v>
          </cell>
          <cell r="F551" t="str">
            <v>福利厚生費</v>
          </cell>
          <cell r="G551">
            <v>100</v>
          </cell>
          <cell r="H551" t="str">
            <v>現金</v>
          </cell>
          <cell r="J551">
            <v>249</v>
          </cell>
          <cell r="K551">
            <v>-6993959</v>
          </cell>
        </row>
        <row r="552">
          <cell r="A552">
            <v>545</v>
          </cell>
          <cell r="B552">
            <v>35935</v>
          </cell>
          <cell r="C552" t="str">
            <v>昼食代</v>
          </cell>
          <cell r="E552">
            <v>503</v>
          </cell>
          <cell r="F552" t="str">
            <v>福利厚生費</v>
          </cell>
          <cell r="G552">
            <v>100</v>
          </cell>
          <cell r="H552" t="str">
            <v>現金</v>
          </cell>
          <cell r="J552">
            <v>1140</v>
          </cell>
          <cell r="K552">
            <v>-6995099</v>
          </cell>
        </row>
        <row r="553">
          <cell r="A553">
            <v>546</v>
          </cell>
          <cell r="B553">
            <v>35935</v>
          </cell>
          <cell r="C553" t="str">
            <v>洗剤</v>
          </cell>
          <cell r="D553" t="str">
            <v>ニュードラッグ</v>
          </cell>
          <cell r="E553">
            <v>525</v>
          </cell>
          <cell r="F553" t="str">
            <v>消耗品費</v>
          </cell>
          <cell r="G553">
            <v>100</v>
          </cell>
          <cell r="H553" t="str">
            <v>現金</v>
          </cell>
          <cell r="J553">
            <v>672</v>
          </cell>
          <cell r="K553">
            <v>-6995771</v>
          </cell>
        </row>
        <row r="554">
          <cell r="A554">
            <v>547</v>
          </cell>
          <cell r="B554">
            <v>35936</v>
          </cell>
          <cell r="C554" t="str">
            <v>お茶代</v>
          </cell>
          <cell r="D554" t="str">
            <v>ＬＡＷＳＯＮ</v>
          </cell>
          <cell r="E554">
            <v>503</v>
          </cell>
          <cell r="F554" t="str">
            <v>福利厚生費</v>
          </cell>
          <cell r="G554">
            <v>100</v>
          </cell>
          <cell r="H554" t="str">
            <v>現金</v>
          </cell>
          <cell r="J554">
            <v>157</v>
          </cell>
          <cell r="K554">
            <v>-6995928</v>
          </cell>
        </row>
        <row r="555">
          <cell r="A555">
            <v>548</v>
          </cell>
          <cell r="B555">
            <v>35936</v>
          </cell>
          <cell r="C555" t="str">
            <v>茶菓子代</v>
          </cell>
          <cell r="D555" t="str">
            <v>ファミリーマート</v>
          </cell>
          <cell r="E555">
            <v>503</v>
          </cell>
          <cell r="F555" t="str">
            <v>福利厚生費</v>
          </cell>
          <cell r="G555">
            <v>100</v>
          </cell>
          <cell r="H555" t="str">
            <v>現金</v>
          </cell>
          <cell r="J555">
            <v>585</v>
          </cell>
          <cell r="K555">
            <v>-6996513</v>
          </cell>
        </row>
        <row r="556">
          <cell r="A556">
            <v>549</v>
          </cell>
          <cell r="B556">
            <v>35937</v>
          </cell>
          <cell r="C556" t="str">
            <v>照明、電気コード</v>
          </cell>
          <cell r="D556" t="str">
            <v>ビッグ１</v>
          </cell>
          <cell r="E556">
            <v>525</v>
          </cell>
          <cell r="F556" t="str">
            <v>消耗品費</v>
          </cell>
          <cell r="G556">
            <v>100</v>
          </cell>
          <cell r="H556" t="str">
            <v>現金</v>
          </cell>
          <cell r="J556">
            <v>1239</v>
          </cell>
          <cell r="K556">
            <v>-6997752</v>
          </cell>
        </row>
        <row r="557">
          <cell r="A557">
            <v>550</v>
          </cell>
          <cell r="B557">
            <v>35937</v>
          </cell>
          <cell r="C557" t="str">
            <v>フロッピー代</v>
          </cell>
          <cell r="E557">
            <v>524</v>
          </cell>
          <cell r="F557" t="str">
            <v>事務消耗品費</v>
          </cell>
          <cell r="G557">
            <v>100</v>
          </cell>
          <cell r="H557" t="str">
            <v>現金</v>
          </cell>
          <cell r="J557">
            <v>950</v>
          </cell>
          <cell r="K557">
            <v>-6998702</v>
          </cell>
        </row>
        <row r="558">
          <cell r="A558">
            <v>551</v>
          </cell>
          <cell r="B558">
            <v>35937</v>
          </cell>
          <cell r="C558" t="str">
            <v>タクシー代</v>
          </cell>
          <cell r="D558" t="str">
            <v>コンドルキャブ</v>
          </cell>
          <cell r="E558">
            <v>522</v>
          </cell>
          <cell r="F558" t="str">
            <v>旅費交通費</v>
          </cell>
          <cell r="G558">
            <v>100</v>
          </cell>
          <cell r="H558" t="str">
            <v>現金</v>
          </cell>
          <cell r="J558">
            <v>1140</v>
          </cell>
          <cell r="K558">
            <v>-6999842</v>
          </cell>
        </row>
        <row r="559">
          <cell r="A559">
            <v>552</v>
          </cell>
          <cell r="B559">
            <v>35937</v>
          </cell>
          <cell r="C559" t="str">
            <v>デジタルカメラ</v>
          </cell>
          <cell r="D559" t="str">
            <v>Ｔｚｏｎｅ</v>
          </cell>
          <cell r="E559">
            <v>525</v>
          </cell>
          <cell r="F559" t="str">
            <v>消耗品費</v>
          </cell>
          <cell r="G559">
            <v>100</v>
          </cell>
          <cell r="H559" t="str">
            <v>現金</v>
          </cell>
          <cell r="J559">
            <v>20790</v>
          </cell>
          <cell r="K559">
            <v>-7020632</v>
          </cell>
        </row>
        <row r="560">
          <cell r="A560">
            <v>553</v>
          </cell>
          <cell r="B560">
            <v>35937</v>
          </cell>
          <cell r="C560" t="str">
            <v>6月分家賃</v>
          </cell>
          <cell r="D560" t="str">
            <v>大塚刷毛製造(株)</v>
          </cell>
          <cell r="E560">
            <v>528</v>
          </cell>
          <cell r="F560" t="str">
            <v>地代・家賃</v>
          </cell>
          <cell r="G560">
            <v>100</v>
          </cell>
          <cell r="H560" t="str">
            <v>現金</v>
          </cell>
          <cell r="J560">
            <v>89000</v>
          </cell>
          <cell r="K560">
            <v>-7109632</v>
          </cell>
        </row>
        <row r="561">
          <cell r="A561">
            <v>554</v>
          </cell>
          <cell r="B561">
            <v>35937</v>
          </cell>
          <cell r="C561" t="str">
            <v>顧問報酬料</v>
          </cell>
          <cell r="D561" t="str">
            <v>中川会計事務所</v>
          </cell>
          <cell r="E561">
            <v>537</v>
          </cell>
          <cell r="F561" t="str">
            <v>顧問報酬</v>
          </cell>
          <cell r="G561">
            <v>100</v>
          </cell>
          <cell r="H561" t="str">
            <v>現金</v>
          </cell>
          <cell r="J561">
            <v>14250</v>
          </cell>
          <cell r="K561">
            <v>-7123882</v>
          </cell>
        </row>
        <row r="562">
          <cell r="A562">
            <v>555</v>
          </cell>
          <cell r="B562">
            <v>35937</v>
          </cell>
          <cell r="C562" t="str">
            <v>源泉所得税</v>
          </cell>
          <cell r="D562" t="str">
            <v>中川会計事務所</v>
          </cell>
          <cell r="E562">
            <v>537</v>
          </cell>
          <cell r="F562" t="str">
            <v>顧問報酬</v>
          </cell>
          <cell r="G562">
            <v>208</v>
          </cell>
          <cell r="H562" t="str">
            <v>預り金</v>
          </cell>
          <cell r="J562">
            <v>1500</v>
          </cell>
          <cell r="K562">
            <v>-7125382</v>
          </cell>
        </row>
        <row r="563">
          <cell r="A563">
            <v>556</v>
          </cell>
          <cell r="B563">
            <v>35938</v>
          </cell>
          <cell r="C563" t="str">
            <v>タクシー代</v>
          </cell>
          <cell r="D563" t="str">
            <v>日本交通</v>
          </cell>
          <cell r="E563">
            <v>522</v>
          </cell>
          <cell r="F563" t="str">
            <v>旅費交通費</v>
          </cell>
          <cell r="G563">
            <v>100</v>
          </cell>
          <cell r="H563" t="str">
            <v>現金</v>
          </cell>
          <cell r="J563">
            <v>740</v>
          </cell>
          <cell r="K563">
            <v>-7126122</v>
          </cell>
        </row>
        <row r="564">
          <cell r="A564">
            <v>557</v>
          </cell>
          <cell r="B564">
            <v>35938</v>
          </cell>
          <cell r="C564" t="str">
            <v>亀ｺﾝ永田氏</v>
          </cell>
          <cell r="D564" t="str">
            <v>東海苑</v>
          </cell>
          <cell r="E564">
            <v>535</v>
          </cell>
          <cell r="F564" t="str">
            <v>会議費</v>
          </cell>
          <cell r="G564">
            <v>100</v>
          </cell>
          <cell r="H564" t="str">
            <v>現金</v>
          </cell>
          <cell r="J564">
            <v>5092</v>
          </cell>
          <cell r="K564">
            <v>-7131214</v>
          </cell>
        </row>
        <row r="565">
          <cell r="A565">
            <v>558</v>
          </cell>
          <cell r="B565">
            <v>35939</v>
          </cell>
          <cell r="C565" t="str">
            <v>夜食代</v>
          </cell>
          <cell r="D565" t="str">
            <v>オリジン弁当</v>
          </cell>
          <cell r="E565">
            <v>503</v>
          </cell>
          <cell r="F565" t="str">
            <v>福利厚生費</v>
          </cell>
          <cell r="G565">
            <v>100</v>
          </cell>
          <cell r="H565" t="str">
            <v>現金</v>
          </cell>
          <cell r="J565">
            <v>1796</v>
          </cell>
          <cell r="K565">
            <v>-7133010</v>
          </cell>
        </row>
        <row r="566">
          <cell r="A566">
            <v>559</v>
          </cell>
          <cell r="B566">
            <v>35939</v>
          </cell>
          <cell r="C566" t="str">
            <v>茶菓子代</v>
          </cell>
          <cell r="D566" t="str">
            <v>セブン・イレブン</v>
          </cell>
          <cell r="E566">
            <v>503</v>
          </cell>
          <cell r="F566" t="str">
            <v>福利厚生費</v>
          </cell>
          <cell r="G566">
            <v>100</v>
          </cell>
          <cell r="H566" t="str">
            <v>現金</v>
          </cell>
          <cell r="J566">
            <v>1222</v>
          </cell>
          <cell r="K566">
            <v>-7134232</v>
          </cell>
        </row>
        <row r="567">
          <cell r="A567">
            <v>560</v>
          </cell>
          <cell r="B567">
            <v>35939</v>
          </cell>
          <cell r="C567" t="str">
            <v>ビ・アーム山際社長</v>
          </cell>
          <cell r="D567" t="str">
            <v>カラオケルームいずみ</v>
          </cell>
          <cell r="E567">
            <v>521</v>
          </cell>
          <cell r="F567" t="str">
            <v>接待交際費</v>
          </cell>
          <cell r="G567">
            <v>100</v>
          </cell>
          <cell r="H567" t="str">
            <v>現金</v>
          </cell>
          <cell r="J567">
            <v>10395</v>
          </cell>
          <cell r="K567">
            <v>-7144627</v>
          </cell>
        </row>
        <row r="568">
          <cell r="A568">
            <v>561</v>
          </cell>
          <cell r="B568">
            <v>35940</v>
          </cell>
          <cell r="C568" t="str">
            <v>夜食代</v>
          </cell>
          <cell r="D568" t="str">
            <v>ＬＡＷＳＯＮ</v>
          </cell>
          <cell r="E568">
            <v>503</v>
          </cell>
          <cell r="F568" t="str">
            <v>福利厚生費</v>
          </cell>
          <cell r="G568">
            <v>100</v>
          </cell>
          <cell r="H568" t="str">
            <v>現金</v>
          </cell>
          <cell r="J568">
            <v>2683</v>
          </cell>
          <cell r="K568">
            <v>-7147310</v>
          </cell>
        </row>
        <row r="569">
          <cell r="A569">
            <v>562</v>
          </cell>
          <cell r="B569">
            <v>35940</v>
          </cell>
          <cell r="C569" t="str">
            <v>茶菓子代</v>
          </cell>
          <cell r="D569" t="str">
            <v>ボンドール</v>
          </cell>
          <cell r="E569">
            <v>503</v>
          </cell>
          <cell r="F569" t="str">
            <v>福利厚生費</v>
          </cell>
          <cell r="G569">
            <v>100</v>
          </cell>
          <cell r="H569" t="str">
            <v>現金</v>
          </cell>
          <cell r="J569">
            <v>326</v>
          </cell>
          <cell r="K569">
            <v>-7147636</v>
          </cell>
        </row>
        <row r="570">
          <cell r="A570">
            <v>563</v>
          </cell>
          <cell r="B570">
            <v>35940</v>
          </cell>
          <cell r="C570" t="str">
            <v>お茶代</v>
          </cell>
          <cell r="D570" t="str">
            <v>ファミリーマート</v>
          </cell>
          <cell r="E570">
            <v>503</v>
          </cell>
          <cell r="F570" t="str">
            <v>福利厚生費</v>
          </cell>
          <cell r="G570">
            <v>100</v>
          </cell>
          <cell r="H570" t="str">
            <v>現金</v>
          </cell>
          <cell r="J570">
            <v>157</v>
          </cell>
          <cell r="K570">
            <v>-7147793</v>
          </cell>
        </row>
        <row r="571">
          <cell r="A571">
            <v>564</v>
          </cell>
          <cell r="B571">
            <v>35940</v>
          </cell>
          <cell r="C571" t="str">
            <v>ガス代</v>
          </cell>
          <cell r="D571" t="str">
            <v>東京ガス</v>
          </cell>
          <cell r="E571">
            <v>530</v>
          </cell>
          <cell r="F571" t="str">
            <v>水道光熱費</v>
          </cell>
          <cell r="G571">
            <v>114</v>
          </cell>
          <cell r="H571" t="str">
            <v>普通預金</v>
          </cell>
          <cell r="J571">
            <v>4671</v>
          </cell>
          <cell r="K571">
            <v>-7152464</v>
          </cell>
        </row>
        <row r="572">
          <cell r="A572">
            <v>565</v>
          </cell>
          <cell r="B572">
            <v>35940</v>
          </cell>
          <cell r="C572" t="str">
            <v>夜食代</v>
          </cell>
          <cell r="D572" t="str">
            <v>ＬＡＷＳＯＮ</v>
          </cell>
          <cell r="E572">
            <v>503</v>
          </cell>
          <cell r="F572" t="str">
            <v>福利厚生費</v>
          </cell>
          <cell r="G572">
            <v>100</v>
          </cell>
          <cell r="H572" t="str">
            <v>現金</v>
          </cell>
          <cell r="J572">
            <v>753</v>
          </cell>
          <cell r="K572">
            <v>-7153217</v>
          </cell>
        </row>
        <row r="573">
          <cell r="A573">
            <v>566</v>
          </cell>
          <cell r="B573">
            <v>35941</v>
          </cell>
          <cell r="C573" t="str">
            <v>亀ｺﾝ霞氏・加藤氏</v>
          </cell>
          <cell r="D573" t="str">
            <v>とんかつ和幸</v>
          </cell>
          <cell r="E573">
            <v>535</v>
          </cell>
          <cell r="F573" t="str">
            <v>会議費</v>
          </cell>
          <cell r="G573">
            <v>100</v>
          </cell>
          <cell r="H573" t="str">
            <v>現金</v>
          </cell>
          <cell r="J573">
            <v>4504</v>
          </cell>
          <cell r="K573">
            <v>-7157721</v>
          </cell>
        </row>
        <row r="574">
          <cell r="A574">
            <v>567</v>
          </cell>
          <cell r="B574">
            <v>35942</v>
          </cell>
          <cell r="C574" t="str">
            <v>経営関係</v>
          </cell>
          <cell r="D574" t="str">
            <v>あおい書店</v>
          </cell>
          <cell r="E574">
            <v>516</v>
          </cell>
          <cell r="F574" t="str">
            <v>図書研究費</v>
          </cell>
          <cell r="G574">
            <v>100</v>
          </cell>
          <cell r="H574" t="str">
            <v>現金</v>
          </cell>
          <cell r="J574">
            <v>1500</v>
          </cell>
          <cell r="K574">
            <v>-7159221</v>
          </cell>
        </row>
        <row r="575">
          <cell r="A575">
            <v>568</v>
          </cell>
          <cell r="B575">
            <v>35942</v>
          </cell>
          <cell r="C575" t="str">
            <v>茶菓子代</v>
          </cell>
          <cell r="D575" t="str">
            <v>ＡＳＡＮＯＹＡ</v>
          </cell>
          <cell r="E575">
            <v>503</v>
          </cell>
          <cell r="F575" t="str">
            <v>福利厚生費</v>
          </cell>
          <cell r="G575">
            <v>100</v>
          </cell>
          <cell r="H575" t="str">
            <v>現金</v>
          </cell>
          <cell r="J575">
            <v>280</v>
          </cell>
          <cell r="K575">
            <v>-7159501</v>
          </cell>
        </row>
        <row r="576">
          <cell r="A576">
            <v>569</v>
          </cell>
          <cell r="B576">
            <v>35942</v>
          </cell>
          <cell r="C576" t="str">
            <v>茶菓子代</v>
          </cell>
          <cell r="D576" t="str">
            <v>一口茶屋</v>
          </cell>
          <cell r="E576">
            <v>503</v>
          </cell>
          <cell r="F576" t="str">
            <v>福利厚生費</v>
          </cell>
          <cell r="G576">
            <v>100</v>
          </cell>
          <cell r="H576" t="str">
            <v>現金</v>
          </cell>
          <cell r="J576">
            <v>240</v>
          </cell>
          <cell r="K576">
            <v>-7159741</v>
          </cell>
        </row>
        <row r="577">
          <cell r="A577">
            <v>570</v>
          </cell>
          <cell r="B577">
            <v>35942</v>
          </cell>
          <cell r="C577" t="str">
            <v>夜食代</v>
          </cell>
          <cell r="D577" t="str">
            <v>丸正</v>
          </cell>
          <cell r="E577">
            <v>503</v>
          </cell>
          <cell r="F577" t="str">
            <v>福利厚生費</v>
          </cell>
          <cell r="G577">
            <v>100</v>
          </cell>
          <cell r="H577" t="str">
            <v>現金</v>
          </cell>
          <cell r="J577">
            <v>1075</v>
          </cell>
          <cell r="K577">
            <v>-7160816</v>
          </cell>
        </row>
        <row r="578">
          <cell r="A578">
            <v>571</v>
          </cell>
          <cell r="B578">
            <v>35942</v>
          </cell>
          <cell r="C578" t="str">
            <v>PHS通話料</v>
          </cell>
          <cell r="D578" t="str">
            <v>ＤＤＩポケット</v>
          </cell>
          <cell r="E578">
            <v>523</v>
          </cell>
          <cell r="F578" t="str">
            <v>通信費</v>
          </cell>
          <cell r="G578">
            <v>114</v>
          </cell>
          <cell r="H578" t="str">
            <v>普通預金</v>
          </cell>
          <cell r="J578">
            <v>3864</v>
          </cell>
          <cell r="K578">
            <v>-7164680</v>
          </cell>
        </row>
        <row r="579">
          <cell r="A579">
            <v>572</v>
          </cell>
          <cell r="B579">
            <v>35943</v>
          </cell>
          <cell r="C579" t="str">
            <v>台所用品</v>
          </cell>
          <cell r="D579" t="str">
            <v>東商行</v>
          </cell>
          <cell r="E579">
            <v>525</v>
          </cell>
          <cell r="F579" t="str">
            <v>消耗品費</v>
          </cell>
          <cell r="G579">
            <v>100</v>
          </cell>
          <cell r="H579" t="str">
            <v>現金</v>
          </cell>
          <cell r="J579">
            <v>630</v>
          </cell>
          <cell r="K579">
            <v>-7165310</v>
          </cell>
        </row>
        <row r="580">
          <cell r="A580">
            <v>573</v>
          </cell>
          <cell r="B580">
            <v>35943</v>
          </cell>
          <cell r="C580" t="str">
            <v>洗剤</v>
          </cell>
          <cell r="D580" t="str">
            <v>ｻﾎﾟｰﾄ薬局</v>
          </cell>
          <cell r="E580">
            <v>525</v>
          </cell>
          <cell r="F580" t="str">
            <v>消耗品費</v>
          </cell>
          <cell r="G580">
            <v>100</v>
          </cell>
          <cell r="H580" t="str">
            <v>現金</v>
          </cell>
          <cell r="J580">
            <v>365</v>
          </cell>
          <cell r="K580">
            <v>-7165675</v>
          </cell>
        </row>
        <row r="581">
          <cell r="A581">
            <v>574</v>
          </cell>
          <cell r="B581">
            <v>35943</v>
          </cell>
          <cell r="C581" t="str">
            <v>パンチ</v>
          </cell>
          <cell r="E581">
            <v>524</v>
          </cell>
          <cell r="F581" t="str">
            <v>事務消耗品費</v>
          </cell>
          <cell r="G581">
            <v>100</v>
          </cell>
          <cell r="H581" t="str">
            <v>現金</v>
          </cell>
          <cell r="J581">
            <v>850</v>
          </cell>
          <cell r="K581">
            <v>-7166525</v>
          </cell>
        </row>
        <row r="582">
          <cell r="A582">
            <v>575</v>
          </cell>
          <cell r="B582">
            <v>35943</v>
          </cell>
          <cell r="C582" t="str">
            <v>テッシュペーパー</v>
          </cell>
          <cell r="D582" t="str">
            <v>ニュードラッグ</v>
          </cell>
          <cell r="E582">
            <v>525</v>
          </cell>
          <cell r="F582" t="str">
            <v>消耗品費</v>
          </cell>
          <cell r="G582">
            <v>100</v>
          </cell>
          <cell r="H582" t="str">
            <v>現金</v>
          </cell>
          <cell r="J582">
            <v>268</v>
          </cell>
          <cell r="K582">
            <v>-7166793</v>
          </cell>
        </row>
        <row r="583">
          <cell r="A583">
            <v>576</v>
          </cell>
          <cell r="B583">
            <v>35944</v>
          </cell>
          <cell r="C583" t="str">
            <v>昼食代</v>
          </cell>
          <cell r="D583" t="str">
            <v>ＡＳＡＮＯＹＡ</v>
          </cell>
          <cell r="E583">
            <v>503</v>
          </cell>
          <cell r="F583" t="str">
            <v>福利厚生費</v>
          </cell>
          <cell r="G583">
            <v>100</v>
          </cell>
          <cell r="H583" t="str">
            <v>現金</v>
          </cell>
          <cell r="J583">
            <v>700</v>
          </cell>
          <cell r="K583">
            <v>-7167493</v>
          </cell>
        </row>
        <row r="584">
          <cell r="A584">
            <v>577</v>
          </cell>
          <cell r="B584">
            <v>35945</v>
          </cell>
          <cell r="C584" t="str">
            <v>お茶代</v>
          </cell>
          <cell r="D584" t="str">
            <v>am pm</v>
          </cell>
          <cell r="E584">
            <v>503</v>
          </cell>
          <cell r="F584" t="str">
            <v>福利厚生費</v>
          </cell>
          <cell r="G584">
            <v>100</v>
          </cell>
          <cell r="H584" t="str">
            <v>現金</v>
          </cell>
          <cell r="J584">
            <v>312</v>
          </cell>
          <cell r="K584">
            <v>-7167805</v>
          </cell>
        </row>
        <row r="585">
          <cell r="A585">
            <v>578</v>
          </cell>
          <cell r="B585">
            <v>35945</v>
          </cell>
          <cell r="C585" t="str">
            <v>5月分給料</v>
          </cell>
          <cell r="D585" t="str">
            <v>細川万紀子</v>
          </cell>
          <cell r="E585">
            <v>501</v>
          </cell>
          <cell r="F585" t="str">
            <v>給料手当</v>
          </cell>
          <cell r="G585">
            <v>100</v>
          </cell>
          <cell r="H585" t="str">
            <v>現金</v>
          </cell>
          <cell r="J585">
            <v>463070</v>
          </cell>
          <cell r="K585">
            <v>-7630875</v>
          </cell>
        </row>
        <row r="586">
          <cell r="A586">
            <v>579</v>
          </cell>
          <cell r="B586">
            <v>35945</v>
          </cell>
          <cell r="C586" t="str">
            <v>源泉所得税</v>
          </cell>
          <cell r="D586" t="str">
            <v>細川万紀子</v>
          </cell>
          <cell r="E586">
            <v>501</v>
          </cell>
          <cell r="F586" t="str">
            <v>給料手当</v>
          </cell>
          <cell r="G586">
            <v>208</v>
          </cell>
          <cell r="H586" t="str">
            <v>預り金</v>
          </cell>
          <cell r="J586">
            <v>36930</v>
          </cell>
          <cell r="K586">
            <v>-7667805</v>
          </cell>
        </row>
        <row r="587">
          <cell r="A587">
            <v>580</v>
          </cell>
          <cell r="B587">
            <v>35946</v>
          </cell>
          <cell r="C587" t="str">
            <v>地図</v>
          </cell>
          <cell r="D587" t="str">
            <v>am pm</v>
          </cell>
          <cell r="E587">
            <v>516</v>
          </cell>
          <cell r="F587" t="str">
            <v>図書研究費</v>
          </cell>
          <cell r="G587">
            <v>100</v>
          </cell>
          <cell r="H587" t="str">
            <v>現金</v>
          </cell>
          <cell r="J587">
            <v>579</v>
          </cell>
          <cell r="K587">
            <v>-7668384</v>
          </cell>
        </row>
        <row r="588">
          <cell r="A588">
            <v>581</v>
          </cell>
          <cell r="B588">
            <v>35946</v>
          </cell>
          <cell r="C588" t="str">
            <v>ドリンク剤</v>
          </cell>
          <cell r="D588" t="str">
            <v>am pm</v>
          </cell>
          <cell r="E588">
            <v>503</v>
          </cell>
          <cell r="F588" t="str">
            <v>福利厚生費</v>
          </cell>
          <cell r="G588">
            <v>100</v>
          </cell>
          <cell r="H588" t="str">
            <v>現金</v>
          </cell>
          <cell r="J588">
            <v>462</v>
          </cell>
          <cell r="K588">
            <v>-7668846</v>
          </cell>
        </row>
        <row r="589">
          <cell r="A589">
            <v>582</v>
          </cell>
          <cell r="B589">
            <v>35947</v>
          </cell>
          <cell r="C589" t="str">
            <v>夜食代</v>
          </cell>
          <cell r="D589" t="str">
            <v>オリジン弁当</v>
          </cell>
          <cell r="E589">
            <v>503</v>
          </cell>
          <cell r="F589" t="str">
            <v>福利厚生費</v>
          </cell>
          <cell r="G589">
            <v>100</v>
          </cell>
          <cell r="H589" t="str">
            <v>現金</v>
          </cell>
          <cell r="J589">
            <v>485</v>
          </cell>
          <cell r="K589">
            <v>-7669331</v>
          </cell>
        </row>
        <row r="590">
          <cell r="A590">
            <v>583</v>
          </cell>
          <cell r="B590">
            <v>35947</v>
          </cell>
          <cell r="C590" t="str">
            <v>亀ｺﾝ永田氏</v>
          </cell>
          <cell r="D590" t="str">
            <v>フレッシュネスバーガー</v>
          </cell>
          <cell r="E590">
            <v>535</v>
          </cell>
          <cell r="F590" t="str">
            <v>会議費</v>
          </cell>
          <cell r="G590">
            <v>100</v>
          </cell>
          <cell r="H590" t="str">
            <v>現金</v>
          </cell>
          <cell r="J590">
            <v>1280</v>
          </cell>
          <cell r="K590">
            <v>-7670611</v>
          </cell>
        </row>
        <row r="591">
          <cell r="A591">
            <v>584</v>
          </cell>
          <cell r="B591">
            <v>35947</v>
          </cell>
          <cell r="C591" t="str">
            <v>お茶代</v>
          </cell>
          <cell r="D591" t="str">
            <v>ローソン</v>
          </cell>
          <cell r="E591">
            <v>503</v>
          </cell>
          <cell r="F591" t="str">
            <v>福利厚生費</v>
          </cell>
          <cell r="G591">
            <v>100</v>
          </cell>
          <cell r="H591" t="str">
            <v>現金</v>
          </cell>
          <cell r="J591">
            <v>795</v>
          </cell>
          <cell r="K591">
            <v>-7671406</v>
          </cell>
        </row>
        <row r="592">
          <cell r="A592">
            <v>585</v>
          </cell>
          <cell r="B592">
            <v>35948</v>
          </cell>
          <cell r="C592" t="str">
            <v>茶菓子代</v>
          </cell>
          <cell r="D592" t="str">
            <v>丸正</v>
          </cell>
          <cell r="E592">
            <v>503</v>
          </cell>
          <cell r="F592" t="str">
            <v>福利厚生費</v>
          </cell>
          <cell r="G592">
            <v>100</v>
          </cell>
          <cell r="H592" t="str">
            <v>現金</v>
          </cell>
          <cell r="J592">
            <v>655</v>
          </cell>
          <cell r="K592">
            <v>-7672061</v>
          </cell>
        </row>
        <row r="593">
          <cell r="A593">
            <v>586</v>
          </cell>
          <cell r="B593">
            <v>35949</v>
          </cell>
          <cell r="C593" t="str">
            <v>茶菓子代</v>
          </cell>
          <cell r="D593" t="str">
            <v>サントク</v>
          </cell>
          <cell r="E593">
            <v>503</v>
          </cell>
          <cell r="F593" t="str">
            <v>福利厚生費</v>
          </cell>
          <cell r="G593">
            <v>100</v>
          </cell>
          <cell r="H593" t="str">
            <v>現金</v>
          </cell>
          <cell r="J593">
            <v>472</v>
          </cell>
          <cell r="K593">
            <v>-7672533</v>
          </cell>
        </row>
        <row r="594">
          <cell r="B594">
            <v>35949</v>
          </cell>
          <cell r="C594" t="str">
            <v>外注費</v>
          </cell>
          <cell r="D594" t="str">
            <v>永田浩一</v>
          </cell>
          <cell r="E594">
            <v>464</v>
          </cell>
          <cell r="F594" t="str">
            <v>外注費</v>
          </cell>
          <cell r="G594">
            <v>114</v>
          </cell>
          <cell r="H594" t="str">
            <v>普通預金</v>
          </cell>
          <cell r="J594">
            <v>900000</v>
          </cell>
          <cell r="K594">
            <v>-8572533</v>
          </cell>
        </row>
        <row r="595">
          <cell r="B595">
            <v>35949</v>
          </cell>
          <cell r="C595" t="str">
            <v>外注費</v>
          </cell>
          <cell r="D595" t="str">
            <v>永田浩一</v>
          </cell>
          <cell r="E595">
            <v>208</v>
          </cell>
          <cell r="F595" t="str">
            <v>預り金</v>
          </cell>
          <cell r="G595">
            <v>114</v>
          </cell>
          <cell r="H595" t="str">
            <v>普通預金</v>
          </cell>
          <cell r="J595">
            <v>100000</v>
          </cell>
          <cell r="K595">
            <v>-8672533</v>
          </cell>
        </row>
        <row r="596">
          <cell r="B596">
            <v>35949</v>
          </cell>
          <cell r="C596" t="str">
            <v>外注費</v>
          </cell>
          <cell r="D596" t="str">
            <v>山口正則</v>
          </cell>
          <cell r="E596">
            <v>464</v>
          </cell>
          <cell r="F596" t="str">
            <v>外注費</v>
          </cell>
          <cell r="G596">
            <v>114</v>
          </cell>
          <cell r="H596" t="str">
            <v>普通預金</v>
          </cell>
          <cell r="J596">
            <v>360000</v>
          </cell>
          <cell r="K596">
            <v>-9032533</v>
          </cell>
        </row>
        <row r="597">
          <cell r="B597">
            <v>35949</v>
          </cell>
          <cell r="C597" t="str">
            <v>外注費</v>
          </cell>
          <cell r="D597" t="str">
            <v>山口正則</v>
          </cell>
          <cell r="E597">
            <v>208</v>
          </cell>
          <cell r="F597" t="str">
            <v>預り金</v>
          </cell>
          <cell r="G597">
            <v>114</v>
          </cell>
          <cell r="H597" t="str">
            <v>普通預金</v>
          </cell>
          <cell r="J597">
            <v>40000</v>
          </cell>
          <cell r="K597">
            <v>-9072533</v>
          </cell>
        </row>
        <row r="598">
          <cell r="B598">
            <v>35949</v>
          </cell>
          <cell r="C598" t="str">
            <v>支払手数料</v>
          </cell>
          <cell r="D598" t="str">
            <v>東京三菱Ｂ／Ｋ</v>
          </cell>
          <cell r="E598">
            <v>512</v>
          </cell>
          <cell r="F598" t="str">
            <v>支払手数料</v>
          </cell>
          <cell r="G598">
            <v>114</v>
          </cell>
          <cell r="H598" t="str">
            <v>普通預金</v>
          </cell>
          <cell r="J598">
            <v>472</v>
          </cell>
          <cell r="K598">
            <v>-9073005</v>
          </cell>
        </row>
        <row r="599">
          <cell r="A599">
            <v>587</v>
          </cell>
          <cell r="B599">
            <v>35950</v>
          </cell>
          <cell r="C599" t="str">
            <v>お茶代</v>
          </cell>
          <cell r="D599" t="str">
            <v>ローソン</v>
          </cell>
          <cell r="E599">
            <v>503</v>
          </cell>
          <cell r="F599" t="str">
            <v>福利厚生費</v>
          </cell>
          <cell r="G599">
            <v>100</v>
          </cell>
          <cell r="H599" t="str">
            <v>現金</v>
          </cell>
          <cell r="J599">
            <v>654</v>
          </cell>
          <cell r="K599">
            <v>-9073659</v>
          </cell>
        </row>
        <row r="600">
          <cell r="A600">
            <v>588</v>
          </cell>
          <cell r="B600">
            <v>35950</v>
          </cell>
          <cell r="C600" t="str">
            <v>登記謄本 印紙代</v>
          </cell>
          <cell r="D600" t="str">
            <v>吉村印紙売捌所</v>
          </cell>
          <cell r="E600">
            <v>526</v>
          </cell>
          <cell r="F600" t="str">
            <v>租税公課</v>
          </cell>
          <cell r="G600">
            <v>100</v>
          </cell>
          <cell r="H600" t="str">
            <v>現金</v>
          </cell>
          <cell r="J600">
            <v>1000</v>
          </cell>
          <cell r="K600">
            <v>-9074659</v>
          </cell>
        </row>
        <row r="601">
          <cell r="A601">
            <v>589</v>
          </cell>
          <cell r="B601">
            <v>35951</v>
          </cell>
          <cell r="C601" t="str">
            <v>亀ｺﾝ 竹下氏</v>
          </cell>
          <cell r="D601" t="str">
            <v>モスバーガ</v>
          </cell>
          <cell r="E601">
            <v>535</v>
          </cell>
          <cell r="F601" t="str">
            <v>会議費</v>
          </cell>
          <cell r="G601">
            <v>100</v>
          </cell>
          <cell r="H601" t="str">
            <v>現金</v>
          </cell>
          <cell r="J601">
            <v>672</v>
          </cell>
          <cell r="K601">
            <v>-9075331</v>
          </cell>
        </row>
        <row r="602">
          <cell r="A602">
            <v>590</v>
          </cell>
          <cell r="B602">
            <v>35951</v>
          </cell>
          <cell r="C602" t="str">
            <v>消しゴム・メモ帳</v>
          </cell>
          <cell r="E602">
            <v>524</v>
          </cell>
          <cell r="F602" t="str">
            <v>事務消耗品費</v>
          </cell>
          <cell r="G602">
            <v>100</v>
          </cell>
          <cell r="H602" t="str">
            <v>現金</v>
          </cell>
          <cell r="J602">
            <v>315</v>
          </cell>
          <cell r="K602">
            <v>-9075646</v>
          </cell>
        </row>
        <row r="603">
          <cell r="A603">
            <v>591</v>
          </cell>
          <cell r="B603">
            <v>35951</v>
          </cell>
          <cell r="C603" t="str">
            <v>夜食代</v>
          </cell>
          <cell r="D603" t="str">
            <v>オリジン弁当</v>
          </cell>
          <cell r="E603">
            <v>503</v>
          </cell>
          <cell r="F603" t="str">
            <v>福利厚生費</v>
          </cell>
          <cell r="G603">
            <v>100</v>
          </cell>
          <cell r="H603" t="str">
            <v>現金</v>
          </cell>
          <cell r="J603">
            <v>733</v>
          </cell>
          <cell r="K603">
            <v>-9076379</v>
          </cell>
        </row>
        <row r="604">
          <cell r="A604">
            <v>592</v>
          </cell>
          <cell r="B604">
            <v>35951</v>
          </cell>
          <cell r="C604" t="str">
            <v>コピー代</v>
          </cell>
          <cell r="D604" t="str">
            <v>Ｋｉｎｋｏ’ｓ</v>
          </cell>
          <cell r="E604">
            <v>524</v>
          </cell>
          <cell r="F604" t="str">
            <v>事務消耗品費</v>
          </cell>
          <cell r="G604">
            <v>100</v>
          </cell>
          <cell r="H604" t="str">
            <v>現金</v>
          </cell>
          <cell r="J604">
            <v>47</v>
          </cell>
          <cell r="K604">
            <v>-9076426</v>
          </cell>
        </row>
        <row r="605">
          <cell r="A605">
            <v>593</v>
          </cell>
          <cell r="B605">
            <v>35951</v>
          </cell>
          <cell r="C605" t="str">
            <v>お茶代</v>
          </cell>
          <cell r="D605" t="str">
            <v>セイフー</v>
          </cell>
          <cell r="E605">
            <v>503</v>
          </cell>
          <cell r="F605" t="str">
            <v>福利厚生費</v>
          </cell>
          <cell r="G605">
            <v>100</v>
          </cell>
          <cell r="H605" t="str">
            <v>現金</v>
          </cell>
          <cell r="J605">
            <v>239</v>
          </cell>
          <cell r="K605">
            <v>-9076665</v>
          </cell>
        </row>
        <row r="606">
          <cell r="A606">
            <v>594</v>
          </cell>
          <cell r="B606">
            <v>35951</v>
          </cell>
          <cell r="C606" t="str">
            <v>コンピュータ雑誌</v>
          </cell>
          <cell r="D606" t="str">
            <v>丸正</v>
          </cell>
          <cell r="E606">
            <v>516</v>
          </cell>
          <cell r="F606" t="str">
            <v>図書研究費</v>
          </cell>
          <cell r="G606">
            <v>100</v>
          </cell>
          <cell r="H606" t="str">
            <v>現金</v>
          </cell>
          <cell r="J606">
            <v>250</v>
          </cell>
          <cell r="K606">
            <v>-9076915</v>
          </cell>
        </row>
        <row r="607">
          <cell r="A607">
            <v>595</v>
          </cell>
          <cell r="B607">
            <v>35951</v>
          </cell>
          <cell r="C607" t="str">
            <v>コーヒー粉</v>
          </cell>
          <cell r="D607" t="str">
            <v>丸正</v>
          </cell>
          <cell r="E607">
            <v>503</v>
          </cell>
          <cell r="F607" t="str">
            <v>福利厚生費</v>
          </cell>
          <cell r="G607">
            <v>100</v>
          </cell>
          <cell r="H607" t="str">
            <v>現金</v>
          </cell>
          <cell r="J607">
            <v>732</v>
          </cell>
          <cell r="K607">
            <v>-9077647</v>
          </cell>
        </row>
        <row r="608">
          <cell r="A608">
            <v>596</v>
          </cell>
          <cell r="B608">
            <v>35952</v>
          </cell>
          <cell r="C608" t="str">
            <v>ビ・アーム山際社長</v>
          </cell>
          <cell r="D608" t="str">
            <v>味仙荘</v>
          </cell>
          <cell r="E608">
            <v>535</v>
          </cell>
          <cell r="F608" t="str">
            <v>会議費</v>
          </cell>
          <cell r="G608">
            <v>100</v>
          </cell>
          <cell r="H608" t="str">
            <v>現金</v>
          </cell>
          <cell r="J608">
            <v>5208</v>
          </cell>
          <cell r="K608">
            <v>-9082855</v>
          </cell>
        </row>
        <row r="609">
          <cell r="A609">
            <v>597</v>
          </cell>
          <cell r="B609">
            <v>35952</v>
          </cell>
          <cell r="C609" t="str">
            <v>お茶代</v>
          </cell>
          <cell r="D609" t="str">
            <v>ファミリーマート</v>
          </cell>
          <cell r="E609">
            <v>503</v>
          </cell>
          <cell r="F609" t="str">
            <v>福利厚生費</v>
          </cell>
          <cell r="G609">
            <v>100</v>
          </cell>
          <cell r="H609" t="str">
            <v>現金</v>
          </cell>
          <cell r="J609">
            <v>659</v>
          </cell>
          <cell r="K609">
            <v>-9083514</v>
          </cell>
        </row>
        <row r="610">
          <cell r="A610">
            <v>598</v>
          </cell>
          <cell r="B610">
            <v>35953</v>
          </cell>
          <cell r="C610" t="str">
            <v>ビジネス書</v>
          </cell>
          <cell r="D610" t="str">
            <v>西武新宿ぺぺ</v>
          </cell>
          <cell r="E610">
            <v>516</v>
          </cell>
          <cell r="F610" t="str">
            <v>図書研究費</v>
          </cell>
          <cell r="G610">
            <v>100</v>
          </cell>
          <cell r="H610" t="str">
            <v>現金</v>
          </cell>
          <cell r="J610">
            <v>1330</v>
          </cell>
          <cell r="K610">
            <v>-9084844</v>
          </cell>
        </row>
        <row r="611">
          <cell r="A611">
            <v>599</v>
          </cell>
          <cell r="B611">
            <v>35953</v>
          </cell>
          <cell r="C611" t="str">
            <v>ＨＧＰ 緒方氏</v>
          </cell>
          <cell r="D611" t="str">
            <v>大馬鹿地蔵</v>
          </cell>
          <cell r="E611">
            <v>535</v>
          </cell>
          <cell r="F611" t="str">
            <v>会議費</v>
          </cell>
          <cell r="G611">
            <v>100</v>
          </cell>
          <cell r="H611" t="str">
            <v>現金</v>
          </cell>
          <cell r="J611">
            <v>6300</v>
          </cell>
          <cell r="K611">
            <v>-9091144</v>
          </cell>
        </row>
        <row r="612">
          <cell r="A612">
            <v>600</v>
          </cell>
          <cell r="B612">
            <v>35954</v>
          </cell>
          <cell r="C612" t="str">
            <v>お茶代</v>
          </cell>
          <cell r="D612" t="str">
            <v>セイフー</v>
          </cell>
          <cell r="E612">
            <v>503</v>
          </cell>
          <cell r="F612" t="str">
            <v>福利厚生費</v>
          </cell>
          <cell r="G612">
            <v>100</v>
          </cell>
          <cell r="H612" t="str">
            <v>現金</v>
          </cell>
          <cell r="J612">
            <v>560</v>
          </cell>
          <cell r="K612">
            <v>-9091704</v>
          </cell>
        </row>
        <row r="613">
          <cell r="A613">
            <v>601</v>
          </cell>
          <cell r="B613">
            <v>35954</v>
          </cell>
          <cell r="C613" t="str">
            <v>茶菓子代</v>
          </cell>
          <cell r="D613" t="str">
            <v>アンテンドゥ</v>
          </cell>
          <cell r="E613">
            <v>503</v>
          </cell>
          <cell r="F613" t="str">
            <v>福利厚生費</v>
          </cell>
          <cell r="G613">
            <v>100</v>
          </cell>
          <cell r="H613" t="str">
            <v>現金</v>
          </cell>
          <cell r="J613">
            <v>367</v>
          </cell>
          <cell r="K613">
            <v>-9092071</v>
          </cell>
        </row>
        <row r="614">
          <cell r="A614">
            <v>602</v>
          </cell>
          <cell r="B614">
            <v>35954</v>
          </cell>
          <cell r="C614" t="str">
            <v>亀ｺﾝ 霞氏</v>
          </cell>
          <cell r="D614" t="str">
            <v>コロラド</v>
          </cell>
          <cell r="E614">
            <v>535</v>
          </cell>
          <cell r="F614" t="str">
            <v>会議費</v>
          </cell>
          <cell r="G614">
            <v>100</v>
          </cell>
          <cell r="H614" t="str">
            <v>現金</v>
          </cell>
          <cell r="J614">
            <v>1210</v>
          </cell>
          <cell r="K614">
            <v>-9093281</v>
          </cell>
        </row>
        <row r="615">
          <cell r="A615">
            <v>603</v>
          </cell>
          <cell r="B615">
            <v>35955</v>
          </cell>
          <cell r="C615" t="str">
            <v>お茶代</v>
          </cell>
          <cell r="D615" t="str">
            <v>ローソン</v>
          </cell>
          <cell r="E615">
            <v>503</v>
          </cell>
          <cell r="F615" t="str">
            <v>福利厚生費</v>
          </cell>
          <cell r="G615">
            <v>100</v>
          </cell>
          <cell r="H615" t="str">
            <v>現金</v>
          </cell>
          <cell r="J615">
            <v>732</v>
          </cell>
          <cell r="K615">
            <v>-9094013</v>
          </cell>
        </row>
        <row r="616">
          <cell r="A616">
            <v>604</v>
          </cell>
          <cell r="B616">
            <v>35955</v>
          </cell>
          <cell r="C616" t="str">
            <v>亀ｺﾝ永田氏</v>
          </cell>
          <cell r="D616" t="str">
            <v>Ｄｅｎｎｙ’ｓ</v>
          </cell>
          <cell r="E616">
            <v>535</v>
          </cell>
          <cell r="F616" t="str">
            <v>会議費</v>
          </cell>
          <cell r="G616">
            <v>100</v>
          </cell>
          <cell r="H616" t="str">
            <v>現金</v>
          </cell>
          <cell r="J616">
            <v>1085</v>
          </cell>
          <cell r="K616">
            <v>-9095098</v>
          </cell>
        </row>
        <row r="617">
          <cell r="A617">
            <v>605</v>
          </cell>
          <cell r="B617">
            <v>35956</v>
          </cell>
          <cell r="C617" t="str">
            <v>茶菓子代</v>
          </cell>
          <cell r="D617" t="str">
            <v>ＡＳＡＮＯＹＡ</v>
          </cell>
          <cell r="E617">
            <v>503</v>
          </cell>
          <cell r="F617" t="str">
            <v>福利厚生費</v>
          </cell>
          <cell r="G617">
            <v>100</v>
          </cell>
          <cell r="H617" t="str">
            <v>現金</v>
          </cell>
          <cell r="J617">
            <v>850</v>
          </cell>
          <cell r="K617">
            <v>-9095948</v>
          </cell>
        </row>
        <row r="618">
          <cell r="A618">
            <v>606</v>
          </cell>
          <cell r="B618">
            <v>35956</v>
          </cell>
          <cell r="C618" t="str">
            <v>コンピュータ雑誌</v>
          </cell>
          <cell r="D618" t="str">
            <v>あおい書店</v>
          </cell>
          <cell r="E618">
            <v>516</v>
          </cell>
          <cell r="F618" t="str">
            <v>図書研究費</v>
          </cell>
          <cell r="G618">
            <v>100</v>
          </cell>
          <cell r="H618" t="str">
            <v>現金</v>
          </cell>
          <cell r="J618">
            <v>719</v>
          </cell>
          <cell r="K618">
            <v>-9096667</v>
          </cell>
        </row>
        <row r="619">
          <cell r="A619">
            <v>607</v>
          </cell>
          <cell r="B619">
            <v>35956</v>
          </cell>
          <cell r="C619" t="str">
            <v>お茶代</v>
          </cell>
          <cell r="D619" t="str">
            <v>ローソン</v>
          </cell>
          <cell r="E619">
            <v>503</v>
          </cell>
          <cell r="F619" t="str">
            <v>福利厚生費</v>
          </cell>
          <cell r="G619">
            <v>100</v>
          </cell>
          <cell r="H619" t="str">
            <v>現金</v>
          </cell>
          <cell r="J619">
            <v>420</v>
          </cell>
          <cell r="K619">
            <v>-9097087</v>
          </cell>
        </row>
        <row r="620">
          <cell r="B620">
            <v>35956</v>
          </cell>
          <cell r="C620" t="str">
            <v>源泉所得税</v>
          </cell>
          <cell r="D620" t="str">
            <v>四谷税務署</v>
          </cell>
          <cell r="E620">
            <v>208</v>
          </cell>
          <cell r="F620" t="str">
            <v>預り金</v>
          </cell>
          <cell r="G620">
            <v>114</v>
          </cell>
          <cell r="H620" t="str">
            <v>普通預金</v>
          </cell>
          <cell r="J620">
            <v>31500</v>
          </cell>
          <cell r="K620">
            <v>-9128587</v>
          </cell>
        </row>
        <row r="621">
          <cell r="A621">
            <v>608</v>
          </cell>
          <cell r="B621">
            <v>35957</v>
          </cell>
          <cell r="C621" t="str">
            <v>夜食代</v>
          </cell>
          <cell r="D621" t="str">
            <v>オリジン弁当</v>
          </cell>
          <cell r="E621">
            <v>503</v>
          </cell>
          <cell r="F621" t="str">
            <v>福利厚生費</v>
          </cell>
          <cell r="G621">
            <v>100</v>
          </cell>
          <cell r="H621" t="str">
            <v>現金</v>
          </cell>
          <cell r="J621">
            <v>804</v>
          </cell>
          <cell r="K621">
            <v>-9129391</v>
          </cell>
        </row>
        <row r="622">
          <cell r="A622">
            <v>609</v>
          </cell>
          <cell r="B622">
            <v>35958</v>
          </cell>
          <cell r="C622" t="str">
            <v>ＣＤフォルダー</v>
          </cell>
          <cell r="E622">
            <v>524</v>
          </cell>
          <cell r="F622" t="str">
            <v>事務消耗品費</v>
          </cell>
          <cell r="G622">
            <v>100</v>
          </cell>
          <cell r="H622" t="str">
            <v>現金</v>
          </cell>
          <cell r="J622">
            <v>950</v>
          </cell>
          <cell r="K622">
            <v>-9130341</v>
          </cell>
        </row>
        <row r="623">
          <cell r="A623">
            <v>610</v>
          </cell>
          <cell r="B623">
            <v>35958</v>
          </cell>
          <cell r="C623" t="str">
            <v>お茶代</v>
          </cell>
          <cell r="D623" t="str">
            <v>コミュニティストア</v>
          </cell>
          <cell r="E623">
            <v>503</v>
          </cell>
          <cell r="F623" t="str">
            <v>福利厚生費</v>
          </cell>
          <cell r="G623">
            <v>100</v>
          </cell>
          <cell r="H623" t="str">
            <v>現金</v>
          </cell>
          <cell r="J623">
            <v>294</v>
          </cell>
          <cell r="K623">
            <v>-9130635</v>
          </cell>
        </row>
        <row r="624">
          <cell r="A624">
            <v>611</v>
          </cell>
          <cell r="B624">
            <v>35959</v>
          </cell>
          <cell r="C624" t="str">
            <v>茶菓子代</v>
          </cell>
          <cell r="D624" t="str">
            <v>一口茶屋</v>
          </cell>
          <cell r="E624">
            <v>503</v>
          </cell>
          <cell r="F624" t="str">
            <v>福利厚生費</v>
          </cell>
          <cell r="G624">
            <v>100</v>
          </cell>
          <cell r="H624" t="str">
            <v>現金</v>
          </cell>
          <cell r="J624">
            <v>380</v>
          </cell>
          <cell r="K624">
            <v>-9131015</v>
          </cell>
        </row>
        <row r="625">
          <cell r="A625">
            <v>612</v>
          </cell>
          <cell r="B625">
            <v>35959</v>
          </cell>
          <cell r="C625" t="str">
            <v>夜食代</v>
          </cell>
          <cell r="D625" t="str">
            <v>丸正</v>
          </cell>
          <cell r="E625">
            <v>503</v>
          </cell>
          <cell r="F625" t="str">
            <v>福利厚生費</v>
          </cell>
          <cell r="G625">
            <v>100</v>
          </cell>
          <cell r="H625" t="str">
            <v>現金</v>
          </cell>
          <cell r="J625">
            <v>1793</v>
          </cell>
          <cell r="K625">
            <v>-9132808</v>
          </cell>
        </row>
        <row r="626">
          <cell r="A626">
            <v>613</v>
          </cell>
          <cell r="B626">
            <v>35960</v>
          </cell>
          <cell r="C626" t="str">
            <v>タクシー代</v>
          </cell>
          <cell r="D626" t="str">
            <v>染谷交通</v>
          </cell>
          <cell r="E626">
            <v>522</v>
          </cell>
          <cell r="F626" t="str">
            <v>旅費交通費</v>
          </cell>
          <cell r="G626">
            <v>100</v>
          </cell>
          <cell r="H626" t="str">
            <v>現金</v>
          </cell>
          <cell r="J626">
            <v>980</v>
          </cell>
          <cell r="K626">
            <v>-9133788</v>
          </cell>
        </row>
        <row r="627">
          <cell r="A627">
            <v>614</v>
          </cell>
          <cell r="B627">
            <v>35960</v>
          </cell>
          <cell r="C627" t="str">
            <v>お茶代</v>
          </cell>
          <cell r="D627" t="str">
            <v>セイフー</v>
          </cell>
          <cell r="E627">
            <v>503</v>
          </cell>
          <cell r="F627" t="str">
            <v>福利厚生費</v>
          </cell>
          <cell r="G627">
            <v>100</v>
          </cell>
          <cell r="H627" t="str">
            <v>現金</v>
          </cell>
          <cell r="J627">
            <v>462</v>
          </cell>
          <cell r="K627">
            <v>-9134250</v>
          </cell>
        </row>
        <row r="628">
          <cell r="A628">
            <v>615</v>
          </cell>
          <cell r="B628">
            <v>35960</v>
          </cell>
          <cell r="C628" t="str">
            <v>夜食代</v>
          </cell>
          <cell r="D628" t="str">
            <v>ローソン</v>
          </cell>
          <cell r="E628">
            <v>503</v>
          </cell>
          <cell r="F628" t="str">
            <v>福利厚生費</v>
          </cell>
          <cell r="G628">
            <v>100</v>
          </cell>
          <cell r="H628" t="str">
            <v>現金</v>
          </cell>
          <cell r="J628">
            <v>1717</v>
          </cell>
          <cell r="K628">
            <v>-9135967</v>
          </cell>
        </row>
        <row r="629">
          <cell r="A629">
            <v>616</v>
          </cell>
          <cell r="B629">
            <v>35961</v>
          </cell>
          <cell r="C629" t="str">
            <v>トイレットペーパー</v>
          </cell>
          <cell r="D629" t="str">
            <v>ｻﾎﾟｰﾄ薬局</v>
          </cell>
          <cell r="E629">
            <v>525</v>
          </cell>
          <cell r="F629" t="str">
            <v>消耗品費</v>
          </cell>
          <cell r="G629">
            <v>100</v>
          </cell>
          <cell r="H629" t="str">
            <v>現金</v>
          </cell>
          <cell r="J629">
            <v>207</v>
          </cell>
          <cell r="K629">
            <v>-9136174</v>
          </cell>
        </row>
        <row r="630">
          <cell r="A630">
            <v>617</v>
          </cell>
          <cell r="B630">
            <v>35961</v>
          </cell>
          <cell r="C630" t="str">
            <v>夜食代</v>
          </cell>
          <cell r="D630" t="str">
            <v>茶月</v>
          </cell>
          <cell r="E630">
            <v>503</v>
          </cell>
          <cell r="F630" t="str">
            <v>福利厚生費</v>
          </cell>
          <cell r="G630">
            <v>100</v>
          </cell>
          <cell r="H630" t="str">
            <v>現金</v>
          </cell>
          <cell r="J630">
            <v>525</v>
          </cell>
          <cell r="K630">
            <v>-9136699</v>
          </cell>
        </row>
        <row r="631">
          <cell r="A631">
            <v>618</v>
          </cell>
          <cell r="B631">
            <v>35961</v>
          </cell>
          <cell r="C631" t="str">
            <v>お茶代</v>
          </cell>
          <cell r="D631" t="str">
            <v>ローソン</v>
          </cell>
          <cell r="E631">
            <v>503</v>
          </cell>
          <cell r="F631" t="str">
            <v>福利厚生費</v>
          </cell>
          <cell r="G631">
            <v>100</v>
          </cell>
          <cell r="H631" t="str">
            <v>現金</v>
          </cell>
          <cell r="J631">
            <v>1438</v>
          </cell>
          <cell r="K631">
            <v>-9138137</v>
          </cell>
        </row>
        <row r="632">
          <cell r="A632">
            <v>619</v>
          </cell>
          <cell r="B632">
            <v>35961</v>
          </cell>
          <cell r="C632" t="str">
            <v>実用書</v>
          </cell>
          <cell r="D632" t="str">
            <v>あおい書店</v>
          </cell>
          <cell r="E632">
            <v>516</v>
          </cell>
          <cell r="F632" t="str">
            <v>図書研究費</v>
          </cell>
          <cell r="G632">
            <v>100</v>
          </cell>
          <cell r="H632" t="str">
            <v>現金</v>
          </cell>
          <cell r="J632">
            <v>900</v>
          </cell>
          <cell r="K632">
            <v>-9139037</v>
          </cell>
        </row>
        <row r="633">
          <cell r="A633">
            <v>620</v>
          </cell>
          <cell r="B633">
            <v>35961</v>
          </cell>
          <cell r="C633" t="str">
            <v>栄養ドリンク</v>
          </cell>
          <cell r="D633" t="str">
            <v>am pm</v>
          </cell>
          <cell r="E633">
            <v>503</v>
          </cell>
          <cell r="F633" t="str">
            <v>福利厚生費</v>
          </cell>
          <cell r="G633">
            <v>100</v>
          </cell>
          <cell r="H633" t="str">
            <v>現金</v>
          </cell>
          <cell r="J633">
            <v>513</v>
          </cell>
          <cell r="K633">
            <v>-9139550</v>
          </cell>
        </row>
        <row r="634">
          <cell r="B634">
            <v>35961</v>
          </cell>
          <cell r="C634" t="str">
            <v>電話料金</v>
          </cell>
          <cell r="D634" t="str">
            <v>ＮＴＴ</v>
          </cell>
          <cell r="E634">
            <v>523</v>
          </cell>
          <cell r="F634" t="str">
            <v>通信費</v>
          </cell>
          <cell r="G634">
            <v>114</v>
          </cell>
          <cell r="H634" t="str">
            <v>普通預金</v>
          </cell>
          <cell r="J634">
            <v>3286</v>
          </cell>
          <cell r="K634">
            <v>-9142836</v>
          </cell>
        </row>
        <row r="635">
          <cell r="B635">
            <v>35961</v>
          </cell>
          <cell r="C635" t="str">
            <v>電気料金</v>
          </cell>
          <cell r="D635" t="str">
            <v>東京電力</v>
          </cell>
          <cell r="E635">
            <v>530</v>
          </cell>
          <cell r="F635" t="str">
            <v>水道光熱費</v>
          </cell>
          <cell r="G635">
            <v>114</v>
          </cell>
          <cell r="H635" t="str">
            <v>普通預金</v>
          </cell>
          <cell r="J635">
            <v>4399</v>
          </cell>
          <cell r="K635">
            <v>-9147235</v>
          </cell>
        </row>
        <row r="636">
          <cell r="A636">
            <v>621</v>
          </cell>
          <cell r="B636">
            <v>35962</v>
          </cell>
          <cell r="C636" t="str">
            <v>茶菓子代</v>
          </cell>
          <cell r="D636" t="str">
            <v>セブン・イレブン</v>
          </cell>
          <cell r="E636">
            <v>503</v>
          </cell>
          <cell r="F636" t="str">
            <v>福利厚生費</v>
          </cell>
          <cell r="G636">
            <v>100</v>
          </cell>
          <cell r="H636" t="str">
            <v>現金</v>
          </cell>
          <cell r="J636">
            <v>145</v>
          </cell>
          <cell r="K636">
            <v>-9147380</v>
          </cell>
        </row>
        <row r="637">
          <cell r="A637">
            <v>622</v>
          </cell>
          <cell r="B637">
            <v>35962</v>
          </cell>
          <cell r="C637" t="str">
            <v>茶菓子代</v>
          </cell>
          <cell r="D637" t="str">
            <v>サントク</v>
          </cell>
          <cell r="E637">
            <v>503</v>
          </cell>
          <cell r="F637" t="str">
            <v>福利厚生費</v>
          </cell>
          <cell r="G637">
            <v>100</v>
          </cell>
          <cell r="H637" t="str">
            <v>現金</v>
          </cell>
          <cell r="J637">
            <v>409</v>
          </cell>
          <cell r="K637">
            <v>-9147789</v>
          </cell>
        </row>
        <row r="638">
          <cell r="A638">
            <v>623</v>
          </cell>
          <cell r="B638">
            <v>35962</v>
          </cell>
          <cell r="C638" t="str">
            <v>夜食代</v>
          </cell>
          <cell r="D638" t="str">
            <v>てんや</v>
          </cell>
          <cell r="E638">
            <v>503</v>
          </cell>
          <cell r="F638" t="str">
            <v>福利厚生費</v>
          </cell>
          <cell r="G638">
            <v>100</v>
          </cell>
          <cell r="H638" t="str">
            <v>現金</v>
          </cell>
          <cell r="J638">
            <v>472</v>
          </cell>
          <cell r="K638">
            <v>-9148261</v>
          </cell>
        </row>
        <row r="639">
          <cell r="A639">
            <v>624</v>
          </cell>
          <cell r="B639">
            <v>35963</v>
          </cell>
          <cell r="C639" t="str">
            <v>お茶代</v>
          </cell>
          <cell r="D639" t="str">
            <v>セブン・イレブン</v>
          </cell>
          <cell r="E639">
            <v>503</v>
          </cell>
          <cell r="F639" t="str">
            <v>福利厚生費</v>
          </cell>
          <cell r="G639">
            <v>100</v>
          </cell>
          <cell r="H639" t="str">
            <v>現金</v>
          </cell>
          <cell r="J639">
            <v>126</v>
          </cell>
          <cell r="K639">
            <v>-9148387</v>
          </cell>
        </row>
        <row r="640">
          <cell r="A640">
            <v>625</v>
          </cell>
          <cell r="B640">
            <v>35964</v>
          </cell>
          <cell r="C640" t="str">
            <v>夜食代</v>
          </cell>
          <cell r="D640" t="str">
            <v>ローソン</v>
          </cell>
          <cell r="E640">
            <v>503</v>
          </cell>
          <cell r="F640" t="str">
            <v>福利厚生費</v>
          </cell>
          <cell r="G640">
            <v>100</v>
          </cell>
          <cell r="H640" t="str">
            <v>現金</v>
          </cell>
          <cell r="J640">
            <v>1696</v>
          </cell>
          <cell r="K640">
            <v>-9150083</v>
          </cell>
        </row>
        <row r="641">
          <cell r="A641">
            <v>626</v>
          </cell>
          <cell r="B641">
            <v>35964</v>
          </cell>
          <cell r="C641" t="str">
            <v>お茶代</v>
          </cell>
          <cell r="D641" t="str">
            <v>セイフー</v>
          </cell>
          <cell r="E641">
            <v>503</v>
          </cell>
          <cell r="F641" t="str">
            <v>福利厚生費</v>
          </cell>
          <cell r="G641">
            <v>100</v>
          </cell>
          <cell r="H641" t="str">
            <v>現金</v>
          </cell>
          <cell r="J641">
            <v>1377</v>
          </cell>
          <cell r="K641">
            <v>-9151460</v>
          </cell>
        </row>
        <row r="642">
          <cell r="B642">
            <v>35964</v>
          </cell>
          <cell r="C642" t="str">
            <v>源泉所得税</v>
          </cell>
          <cell r="D642" t="str">
            <v>四谷税務署</v>
          </cell>
          <cell r="E642">
            <v>208</v>
          </cell>
          <cell r="F642" t="str">
            <v>預り金</v>
          </cell>
          <cell r="G642">
            <v>114</v>
          </cell>
          <cell r="H642" t="str">
            <v>普通預金</v>
          </cell>
          <cell r="J642">
            <v>354150</v>
          </cell>
          <cell r="K642">
            <v>-9505610</v>
          </cell>
        </row>
        <row r="643">
          <cell r="A643">
            <v>627</v>
          </cell>
          <cell r="B643">
            <v>35965</v>
          </cell>
          <cell r="C643" t="str">
            <v>飲料水</v>
          </cell>
          <cell r="D643" t="str">
            <v>ニュードラッグ</v>
          </cell>
          <cell r="E643">
            <v>503</v>
          </cell>
          <cell r="F643" t="str">
            <v>福利厚生費</v>
          </cell>
          <cell r="G643">
            <v>100</v>
          </cell>
          <cell r="H643" t="str">
            <v>現金</v>
          </cell>
          <cell r="J643">
            <v>176</v>
          </cell>
          <cell r="K643">
            <v>-9505786</v>
          </cell>
        </row>
        <row r="644">
          <cell r="A644">
            <v>628</v>
          </cell>
          <cell r="B644">
            <v>35965</v>
          </cell>
          <cell r="C644" t="str">
            <v>夜食代</v>
          </cell>
          <cell r="D644" t="str">
            <v>丸正</v>
          </cell>
          <cell r="E644">
            <v>503</v>
          </cell>
          <cell r="F644" t="str">
            <v>福利厚生費</v>
          </cell>
          <cell r="G644">
            <v>100</v>
          </cell>
          <cell r="H644" t="str">
            <v>現金</v>
          </cell>
          <cell r="J644">
            <v>1591</v>
          </cell>
          <cell r="K644">
            <v>-9507377</v>
          </cell>
        </row>
        <row r="645">
          <cell r="A645">
            <v>629</v>
          </cell>
          <cell r="B645">
            <v>35965</v>
          </cell>
          <cell r="C645" t="str">
            <v>タクシー代</v>
          </cell>
          <cell r="D645" t="str">
            <v>グリーンキャブ</v>
          </cell>
          <cell r="E645">
            <v>522</v>
          </cell>
          <cell r="F645" t="str">
            <v>旅費交通費</v>
          </cell>
          <cell r="G645">
            <v>100</v>
          </cell>
          <cell r="H645" t="str">
            <v>現金</v>
          </cell>
          <cell r="J645">
            <v>1540</v>
          </cell>
          <cell r="K645">
            <v>-9508917</v>
          </cell>
        </row>
        <row r="646">
          <cell r="A646">
            <v>630</v>
          </cell>
          <cell r="B646">
            <v>35966</v>
          </cell>
          <cell r="C646" t="str">
            <v>ビジネス雑誌</v>
          </cell>
          <cell r="D646" t="str">
            <v>ファミリーマート</v>
          </cell>
          <cell r="E646">
            <v>516</v>
          </cell>
          <cell r="F646" t="str">
            <v>図書研究費</v>
          </cell>
          <cell r="G646">
            <v>100</v>
          </cell>
          <cell r="H646" t="str">
            <v>現金</v>
          </cell>
          <cell r="J646">
            <v>739</v>
          </cell>
          <cell r="K646">
            <v>-9509656</v>
          </cell>
        </row>
        <row r="647">
          <cell r="A647">
            <v>631</v>
          </cell>
          <cell r="B647">
            <v>35966</v>
          </cell>
          <cell r="C647" t="str">
            <v>亀ｺﾝ 加藤氏・山口氏</v>
          </cell>
          <cell r="D647" t="str">
            <v>ＡＪＡＮＴＡ</v>
          </cell>
          <cell r="E647">
            <v>535</v>
          </cell>
          <cell r="F647" t="str">
            <v>会議費</v>
          </cell>
          <cell r="G647">
            <v>100</v>
          </cell>
          <cell r="H647" t="str">
            <v>現金</v>
          </cell>
          <cell r="J647">
            <v>7980</v>
          </cell>
          <cell r="K647">
            <v>-9517636</v>
          </cell>
        </row>
        <row r="648">
          <cell r="A648">
            <v>632</v>
          </cell>
          <cell r="B648">
            <v>35966</v>
          </cell>
          <cell r="C648" t="str">
            <v>タクシー代</v>
          </cell>
          <cell r="D648" t="str">
            <v>日本交通</v>
          </cell>
          <cell r="E648">
            <v>522</v>
          </cell>
          <cell r="F648" t="str">
            <v>旅費交通費</v>
          </cell>
          <cell r="G648">
            <v>100</v>
          </cell>
          <cell r="H648" t="str">
            <v>現金</v>
          </cell>
          <cell r="J648">
            <v>7300</v>
          </cell>
          <cell r="K648">
            <v>-9524936</v>
          </cell>
        </row>
        <row r="649">
          <cell r="A649">
            <v>633</v>
          </cell>
          <cell r="B649">
            <v>35967</v>
          </cell>
          <cell r="C649" t="str">
            <v>コンピュータ関係</v>
          </cell>
          <cell r="D649" t="str">
            <v>あおい書店</v>
          </cell>
          <cell r="E649">
            <v>516</v>
          </cell>
          <cell r="F649" t="str">
            <v>図書研究費</v>
          </cell>
          <cell r="G649">
            <v>100</v>
          </cell>
          <cell r="H649" t="str">
            <v>現金</v>
          </cell>
          <cell r="J649">
            <v>1905</v>
          </cell>
          <cell r="K649">
            <v>-9526841</v>
          </cell>
        </row>
        <row r="650">
          <cell r="A650">
            <v>634</v>
          </cell>
          <cell r="B650">
            <v>35967</v>
          </cell>
          <cell r="C650" t="str">
            <v>茶菓子代</v>
          </cell>
          <cell r="D650" t="str">
            <v>高島屋</v>
          </cell>
          <cell r="E650">
            <v>503</v>
          </cell>
          <cell r="F650" t="str">
            <v>福利厚生費</v>
          </cell>
          <cell r="G650">
            <v>100</v>
          </cell>
          <cell r="H650" t="str">
            <v>現金</v>
          </cell>
          <cell r="J650">
            <v>945</v>
          </cell>
          <cell r="K650">
            <v>-9527786</v>
          </cell>
        </row>
        <row r="651">
          <cell r="A651">
            <v>635</v>
          </cell>
          <cell r="B651">
            <v>35968</v>
          </cell>
          <cell r="C651" t="str">
            <v>夜食代</v>
          </cell>
          <cell r="D651" t="str">
            <v>茶月</v>
          </cell>
          <cell r="E651">
            <v>503</v>
          </cell>
          <cell r="F651" t="str">
            <v>福利厚生費</v>
          </cell>
          <cell r="G651">
            <v>100</v>
          </cell>
          <cell r="H651" t="str">
            <v>現金</v>
          </cell>
          <cell r="J651">
            <v>693</v>
          </cell>
          <cell r="K651">
            <v>-9528479</v>
          </cell>
        </row>
        <row r="652">
          <cell r="A652">
            <v>636</v>
          </cell>
          <cell r="B652">
            <v>35968</v>
          </cell>
          <cell r="C652" t="str">
            <v>お茶代</v>
          </cell>
          <cell r="D652" t="str">
            <v>ローソン</v>
          </cell>
          <cell r="E652">
            <v>503</v>
          </cell>
          <cell r="F652" t="str">
            <v>福利厚生費</v>
          </cell>
          <cell r="G652">
            <v>100</v>
          </cell>
          <cell r="H652" t="str">
            <v>現金</v>
          </cell>
          <cell r="J652">
            <v>393</v>
          </cell>
          <cell r="K652">
            <v>-9528872</v>
          </cell>
        </row>
        <row r="653">
          <cell r="A653">
            <v>637</v>
          </cell>
          <cell r="B653">
            <v>35968</v>
          </cell>
          <cell r="C653" t="str">
            <v>亀ｺﾝ 永田氏</v>
          </cell>
          <cell r="D653" t="str">
            <v>Ｄｅｎｎｙ’ｓ</v>
          </cell>
          <cell r="E653">
            <v>535</v>
          </cell>
          <cell r="F653" t="str">
            <v>会議費</v>
          </cell>
          <cell r="G653">
            <v>100</v>
          </cell>
          <cell r="H653" t="str">
            <v>現金</v>
          </cell>
          <cell r="J653">
            <v>3903</v>
          </cell>
          <cell r="K653">
            <v>-9532775</v>
          </cell>
        </row>
        <row r="654">
          <cell r="B654">
            <v>35968</v>
          </cell>
          <cell r="C654" t="str">
            <v>ガス料金</v>
          </cell>
          <cell r="D654" t="str">
            <v>東京ガス</v>
          </cell>
          <cell r="E654">
            <v>530</v>
          </cell>
          <cell r="F654" t="str">
            <v>水道光熱費</v>
          </cell>
          <cell r="G654">
            <v>114</v>
          </cell>
          <cell r="H654" t="str">
            <v>普通預金</v>
          </cell>
          <cell r="J654">
            <v>3557</v>
          </cell>
          <cell r="K654">
            <v>-9536332</v>
          </cell>
        </row>
        <row r="655">
          <cell r="A655">
            <v>638</v>
          </cell>
          <cell r="B655">
            <v>35969</v>
          </cell>
          <cell r="C655" t="str">
            <v>タクシー代</v>
          </cell>
          <cell r="D655" t="str">
            <v>グリーンキャブ</v>
          </cell>
          <cell r="E655">
            <v>522</v>
          </cell>
          <cell r="F655" t="str">
            <v>旅費交通費</v>
          </cell>
          <cell r="G655">
            <v>100</v>
          </cell>
          <cell r="H655" t="str">
            <v>現金</v>
          </cell>
          <cell r="J655">
            <v>980</v>
          </cell>
          <cell r="K655">
            <v>-9537312</v>
          </cell>
        </row>
        <row r="656">
          <cell r="A656">
            <v>639</v>
          </cell>
          <cell r="B656">
            <v>35969</v>
          </cell>
          <cell r="C656" t="str">
            <v>夜食代</v>
          </cell>
          <cell r="D656" t="str">
            <v>BAGEL &amp; BAGEL</v>
          </cell>
          <cell r="E656">
            <v>503</v>
          </cell>
          <cell r="F656" t="str">
            <v>福利厚生費</v>
          </cell>
          <cell r="G656">
            <v>100</v>
          </cell>
          <cell r="H656" t="str">
            <v>現金</v>
          </cell>
          <cell r="J656">
            <v>703</v>
          </cell>
          <cell r="K656">
            <v>-9538015</v>
          </cell>
        </row>
        <row r="657">
          <cell r="A657">
            <v>640</v>
          </cell>
          <cell r="B657">
            <v>35969</v>
          </cell>
          <cell r="C657" t="str">
            <v>亀ｺﾝ 松原社長</v>
          </cell>
          <cell r="D657" t="str">
            <v>プリンスホテル</v>
          </cell>
          <cell r="E657">
            <v>535</v>
          </cell>
          <cell r="F657" t="str">
            <v>会議費</v>
          </cell>
          <cell r="G657">
            <v>100</v>
          </cell>
          <cell r="H657" t="str">
            <v>現金</v>
          </cell>
          <cell r="J657">
            <v>3990</v>
          </cell>
          <cell r="K657">
            <v>-9542005</v>
          </cell>
        </row>
        <row r="658">
          <cell r="A658">
            <v>641</v>
          </cell>
          <cell r="B658">
            <v>35970</v>
          </cell>
          <cell r="C658" t="str">
            <v>登記謄本 印紙代</v>
          </cell>
          <cell r="D658" t="str">
            <v>吉村印紙売捌所</v>
          </cell>
          <cell r="E658">
            <v>526</v>
          </cell>
          <cell r="F658" t="str">
            <v>租税公課</v>
          </cell>
          <cell r="G658">
            <v>100</v>
          </cell>
          <cell r="H658" t="str">
            <v>現金</v>
          </cell>
          <cell r="J658">
            <v>1000</v>
          </cell>
          <cell r="K658">
            <v>-9543005</v>
          </cell>
        </row>
        <row r="659">
          <cell r="A659">
            <v>642</v>
          </cell>
          <cell r="B659">
            <v>35971</v>
          </cell>
          <cell r="C659" t="str">
            <v>浄水器</v>
          </cell>
          <cell r="D659" t="str">
            <v>ＢＩＧ・１</v>
          </cell>
          <cell r="E659">
            <v>525</v>
          </cell>
          <cell r="F659" t="str">
            <v>消耗品費</v>
          </cell>
          <cell r="G659">
            <v>100</v>
          </cell>
          <cell r="H659" t="str">
            <v>現金</v>
          </cell>
          <cell r="J659">
            <v>3465</v>
          </cell>
          <cell r="K659">
            <v>-9546470</v>
          </cell>
        </row>
        <row r="660">
          <cell r="A660">
            <v>643</v>
          </cell>
          <cell r="B660">
            <v>35971</v>
          </cell>
          <cell r="C660" t="str">
            <v>薬用石鹸</v>
          </cell>
          <cell r="D660" t="str">
            <v>ドラッグアスナロ</v>
          </cell>
          <cell r="E660">
            <v>525</v>
          </cell>
          <cell r="F660" t="str">
            <v>消耗品費</v>
          </cell>
          <cell r="G660">
            <v>100</v>
          </cell>
          <cell r="H660" t="str">
            <v>現金</v>
          </cell>
          <cell r="J660">
            <v>1039</v>
          </cell>
          <cell r="K660">
            <v>-9547509</v>
          </cell>
        </row>
        <row r="661">
          <cell r="A661">
            <v>644</v>
          </cell>
          <cell r="B661">
            <v>35971</v>
          </cell>
          <cell r="C661" t="str">
            <v>夜食代</v>
          </cell>
          <cell r="D661" t="str">
            <v>丸正</v>
          </cell>
          <cell r="E661">
            <v>503</v>
          </cell>
          <cell r="F661" t="str">
            <v>福利厚生費</v>
          </cell>
          <cell r="G661">
            <v>100</v>
          </cell>
          <cell r="H661" t="str">
            <v>現金</v>
          </cell>
          <cell r="J661">
            <v>2380</v>
          </cell>
          <cell r="K661">
            <v>-9549889</v>
          </cell>
        </row>
        <row r="662">
          <cell r="A662">
            <v>645</v>
          </cell>
          <cell r="B662">
            <v>35971</v>
          </cell>
          <cell r="C662" t="str">
            <v>7月分家賃</v>
          </cell>
          <cell r="D662" t="str">
            <v>大塚刷毛製造（株）</v>
          </cell>
          <cell r="E662">
            <v>528</v>
          </cell>
          <cell r="F662" t="str">
            <v>地代・家賃</v>
          </cell>
          <cell r="G662">
            <v>100</v>
          </cell>
          <cell r="H662" t="str">
            <v>現金</v>
          </cell>
          <cell r="J662">
            <v>89000</v>
          </cell>
          <cell r="K662">
            <v>-9638889</v>
          </cell>
        </row>
        <row r="663">
          <cell r="A663">
            <v>646</v>
          </cell>
          <cell r="B663">
            <v>35972</v>
          </cell>
          <cell r="C663" t="str">
            <v>亀ｺﾝ 永田氏</v>
          </cell>
          <cell r="D663" t="str">
            <v>Ｄｅｎｎｙ’ｓ</v>
          </cell>
          <cell r="E663">
            <v>535</v>
          </cell>
          <cell r="F663" t="str">
            <v>会議費</v>
          </cell>
          <cell r="G663">
            <v>100</v>
          </cell>
          <cell r="H663" t="str">
            <v>現金</v>
          </cell>
          <cell r="J663">
            <v>2333</v>
          </cell>
          <cell r="K663">
            <v>-9641222</v>
          </cell>
        </row>
        <row r="664">
          <cell r="A664">
            <v>647</v>
          </cell>
          <cell r="B664">
            <v>35972</v>
          </cell>
          <cell r="C664" t="str">
            <v>お茶代</v>
          </cell>
          <cell r="D664" t="str">
            <v>am pm</v>
          </cell>
          <cell r="E664">
            <v>503</v>
          </cell>
          <cell r="F664" t="str">
            <v>福利厚生費</v>
          </cell>
          <cell r="G664">
            <v>100</v>
          </cell>
          <cell r="H664" t="str">
            <v>現金</v>
          </cell>
          <cell r="J664">
            <v>428</v>
          </cell>
          <cell r="K664">
            <v>-9641650</v>
          </cell>
        </row>
        <row r="665">
          <cell r="A665">
            <v>648</v>
          </cell>
          <cell r="B665">
            <v>35972</v>
          </cell>
          <cell r="C665" t="str">
            <v>夜食代</v>
          </cell>
          <cell r="D665" t="str">
            <v>丸正</v>
          </cell>
          <cell r="E665">
            <v>503</v>
          </cell>
          <cell r="F665" t="str">
            <v>福利厚生費</v>
          </cell>
          <cell r="G665">
            <v>100</v>
          </cell>
          <cell r="H665" t="str">
            <v>現金</v>
          </cell>
          <cell r="J665">
            <v>1671</v>
          </cell>
          <cell r="K665">
            <v>-9643321</v>
          </cell>
        </row>
        <row r="666">
          <cell r="B666">
            <v>35972</v>
          </cell>
          <cell r="C666" t="str">
            <v>受信料</v>
          </cell>
          <cell r="D666" t="str">
            <v>ＮＨＫ</v>
          </cell>
          <cell r="E666">
            <v>538</v>
          </cell>
          <cell r="F666" t="str">
            <v>雑費</v>
          </cell>
          <cell r="G666">
            <v>114</v>
          </cell>
          <cell r="H666" t="str">
            <v>普通預金</v>
          </cell>
          <cell r="J666">
            <v>7650</v>
          </cell>
          <cell r="K666">
            <v>-9650971</v>
          </cell>
        </row>
        <row r="667">
          <cell r="A667">
            <v>649</v>
          </cell>
          <cell r="B667">
            <v>35973</v>
          </cell>
          <cell r="C667" t="str">
            <v>インテック 山田氏</v>
          </cell>
          <cell r="D667" t="str">
            <v>雛鮨</v>
          </cell>
          <cell r="E667">
            <v>521</v>
          </cell>
          <cell r="F667" t="str">
            <v>接待交際費</v>
          </cell>
          <cell r="G667">
            <v>100</v>
          </cell>
          <cell r="H667" t="str">
            <v>現金</v>
          </cell>
          <cell r="J667">
            <v>10683</v>
          </cell>
          <cell r="K667">
            <v>-9661654</v>
          </cell>
        </row>
        <row r="668">
          <cell r="A668">
            <v>650</v>
          </cell>
          <cell r="B668">
            <v>35973</v>
          </cell>
          <cell r="C668" t="str">
            <v>お菓子代</v>
          </cell>
          <cell r="D668" t="str">
            <v>ファミリーマート</v>
          </cell>
          <cell r="E668">
            <v>503</v>
          </cell>
          <cell r="F668" t="str">
            <v>福利厚生費</v>
          </cell>
          <cell r="G668">
            <v>100</v>
          </cell>
          <cell r="H668" t="str">
            <v>現金</v>
          </cell>
          <cell r="J668">
            <v>205</v>
          </cell>
          <cell r="K668">
            <v>-9661859</v>
          </cell>
        </row>
        <row r="669">
          <cell r="A669">
            <v>651</v>
          </cell>
          <cell r="B669">
            <v>35973</v>
          </cell>
          <cell r="C669" t="str">
            <v>シャーボ</v>
          </cell>
          <cell r="D669" t="str">
            <v>ローソン</v>
          </cell>
          <cell r="E669">
            <v>524</v>
          </cell>
          <cell r="F669" t="str">
            <v>事務消耗品費</v>
          </cell>
          <cell r="G669">
            <v>100</v>
          </cell>
          <cell r="H669" t="str">
            <v>現金</v>
          </cell>
          <cell r="J669">
            <v>2387</v>
          </cell>
          <cell r="K669">
            <v>-9664246</v>
          </cell>
        </row>
        <row r="670">
          <cell r="A670">
            <v>652</v>
          </cell>
          <cell r="B670">
            <v>35974</v>
          </cell>
          <cell r="C670" t="str">
            <v>コンピュータ雑誌</v>
          </cell>
          <cell r="D670" t="str">
            <v>ローソン</v>
          </cell>
          <cell r="E670">
            <v>516</v>
          </cell>
          <cell r="F670" t="str">
            <v>図書研究費</v>
          </cell>
          <cell r="G670">
            <v>100</v>
          </cell>
          <cell r="H670" t="str">
            <v>現金</v>
          </cell>
          <cell r="J670">
            <v>520</v>
          </cell>
          <cell r="K670">
            <v>-9664766</v>
          </cell>
        </row>
        <row r="671">
          <cell r="A671">
            <v>653</v>
          </cell>
          <cell r="B671">
            <v>35974</v>
          </cell>
          <cell r="C671" t="str">
            <v>夜食代</v>
          </cell>
          <cell r="D671" t="str">
            <v>ローソン</v>
          </cell>
          <cell r="E671">
            <v>503</v>
          </cell>
          <cell r="F671" t="str">
            <v>福利厚生費</v>
          </cell>
          <cell r="G671">
            <v>100</v>
          </cell>
          <cell r="H671" t="str">
            <v>現金</v>
          </cell>
          <cell r="J671">
            <v>1461</v>
          </cell>
          <cell r="K671">
            <v>-9666227</v>
          </cell>
        </row>
        <row r="672">
          <cell r="A672">
            <v>654</v>
          </cell>
          <cell r="B672">
            <v>35975</v>
          </cell>
          <cell r="C672" t="str">
            <v>亀ｺﾝ 竹下氏</v>
          </cell>
          <cell r="D672" t="str">
            <v>ルノアール</v>
          </cell>
          <cell r="E672">
            <v>535</v>
          </cell>
          <cell r="F672" t="str">
            <v>会議費</v>
          </cell>
          <cell r="G672">
            <v>100</v>
          </cell>
          <cell r="H672" t="str">
            <v>現金</v>
          </cell>
          <cell r="J672">
            <v>1000</v>
          </cell>
          <cell r="K672">
            <v>-9667227</v>
          </cell>
        </row>
        <row r="673">
          <cell r="A673">
            <v>655</v>
          </cell>
          <cell r="B673">
            <v>35975</v>
          </cell>
          <cell r="C673" t="str">
            <v>コンピュータ誌</v>
          </cell>
          <cell r="D673" t="str">
            <v>宮子書店</v>
          </cell>
          <cell r="E673">
            <v>516</v>
          </cell>
          <cell r="F673" t="str">
            <v>図書研究費</v>
          </cell>
          <cell r="G673">
            <v>100</v>
          </cell>
          <cell r="H673" t="str">
            <v>現金</v>
          </cell>
          <cell r="J673">
            <v>260</v>
          </cell>
          <cell r="K673">
            <v>-9667487</v>
          </cell>
        </row>
        <row r="674">
          <cell r="A674">
            <v>656</v>
          </cell>
          <cell r="B674">
            <v>35975</v>
          </cell>
          <cell r="C674" t="str">
            <v>お茶代</v>
          </cell>
          <cell r="D674" t="str">
            <v>サンクス</v>
          </cell>
          <cell r="E674">
            <v>503</v>
          </cell>
          <cell r="F674" t="str">
            <v>福利厚生費</v>
          </cell>
          <cell r="G674">
            <v>100</v>
          </cell>
          <cell r="H674" t="str">
            <v>現金</v>
          </cell>
          <cell r="J674">
            <v>787</v>
          </cell>
          <cell r="K674">
            <v>-9668274</v>
          </cell>
        </row>
        <row r="675">
          <cell r="A675">
            <v>657</v>
          </cell>
          <cell r="B675">
            <v>35975</v>
          </cell>
          <cell r="C675" t="str">
            <v>亀ｺﾝ 永田氏</v>
          </cell>
          <cell r="D675" t="str">
            <v>Ｄｅｎｎｙ’ｓ</v>
          </cell>
          <cell r="E675">
            <v>535</v>
          </cell>
          <cell r="F675" t="str">
            <v>会議費</v>
          </cell>
          <cell r="G675">
            <v>100</v>
          </cell>
          <cell r="H675" t="str">
            <v>現金</v>
          </cell>
          <cell r="J675">
            <v>2536</v>
          </cell>
          <cell r="K675">
            <v>-9670810</v>
          </cell>
        </row>
      </sheetData>
      <sheetData sheetId="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Relationships xmlns="http://schemas.openxmlformats.org/package/2006/relationships"><Relationship Type="http://schemas.openxmlformats.org/officeDocument/2006/relationships/vmlDrawing" Target="/xl/drawings/vmlDrawing1.vml" Id="anysvml" /></Relationships>
</file>

<file path=xl/worksheets/_rels/sheet6.xml.rels><Relationships xmlns="http://schemas.openxmlformats.org/package/2006/relationships"><Relationship Type="http://schemas.openxmlformats.org/officeDocument/2006/relationships/vmlDrawing" Target="/xl/drawings/vmlDrawing2.vml" Id="anysvml" /></Relationships>
</file>

<file path=xl/worksheets/_rels/sheet7.xml.rels><Relationships xmlns="http://schemas.openxmlformats.org/package/2006/relationships"><Relationship Type="http://schemas.openxmlformats.org/officeDocument/2006/relationships/hyperlink" Target="https://japonyol.net/distance.html" TargetMode="External" Id="rId1" /></Relationships>
</file>

<file path=xl/worksheets/sheet1.xml><?xml version="1.0" encoding="utf-8"?>
<worksheet xmlns="http://schemas.openxmlformats.org/spreadsheetml/2006/main">
  <sheetPr codeName="Sheet1">
    <outlinePr summaryBelow="1" summaryRight="1"/>
    <pageSetUpPr/>
  </sheetPr>
  <dimension ref="B2:I104"/>
  <sheetViews>
    <sheetView workbookViewId="0">
      <selection activeCell="A1" sqref="A1"/>
    </sheetView>
  </sheetViews>
  <sheetFormatPr baseColWidth="8" defaultColWidth="9" defaultRowHeight="13.5"/>
  <cols>
    <col width="2" customWidth="1" style="643" min="1" max="1"/>
    <col width="7.125" customWidth="1" style="643" min="2" max="2"/>
    <col width="32.375" customWidth="1" style="643" min="3" max="3"/>
    <col width="22.875" customWidth="1" style="643" min="4" max="4"/>
    <col width="13.875" customWidth="1" style="643" min="5" max="5"/>
    <col width="13.625" customWidth="1" style="643" min="6" max="6"/>
    <col width="3.5" customWidth="1" style="643" min="7" max="7"/>
    <col width="13.625" customWidth="1" style="643" min="8" max="8"/>
    <col width="14.375" customWidth="1" style="643" min="9" max="9"/>
  </cols>
  <sheetData>
    <row r="1" ht="4.5" customHeight="1" s="643"/>
    <row r="2" ht="21.75" customHeight="1" s="643">
      <c r="B2" s="1" t="inlineStr">
        <is>
          <t>氏名</t>
        </is>
      </c>
      <c r="C2" s="2" t="n"/>
      <c r="D2" s="466" t="inlineStr">
        <is>
          <t>交通費精算書</t>
        </is>
      </c>
    </row>
    <row r="3" ht="21.75" customHeight="1" s="643">
      <c r="B3" s="3" t="inlineStr">
        <is>
          <t>所属</t>
        </is>
      </c>
      <c r="C3" s="4" t="n"/>
    </row>
    <row r="5" ht="7.5" customHeight="1" s="643"/>
    <row r="6" ht="22.5" customHeight="1" s="643">
      <c r="B6" s="467" t="inlineStr">
        <is>
          <t>日　付</t>
        </is>
      </c>
      <c r="C6" s="6" t="inlineStr">
        <is>
          <t>行　　先</t>
        </is>
      </c>
      <c r="D6" s="6" t="inlineStr">
        <is>
          <t>用　　件</t>
        </is>
      </c>
      <c r="E6" s="7" t="inlineStr">
        <is>
          <t>交通機関</t>
        </is>
      </c>
      <c r="F6" s="467" t="inlineStr">
        <is>
          <t>移動経路</t>
        </is>
      </c>
      <c r="G6" s="644" t="n"/>
      <c r="H6" s="645" t="n"/>
      <c r="I6" s="467" t="inlineStr">
        <is>
          <t>金　額</t>
        </is>
      </c>
    </row>
    <row r="7" ht="20.1" customHeight="1" s="643">
      <c r="B7" s="646" t="n"/>
      <c r="C7" s="9" t="n"/>
      <c r="D7" s="9" t="n"/>
      <c r="E7" s="10" t="n"/>
      <c r="F7" s="9" t="n"/>
      <c r="G7" s="11" t="inlineStr">
        <is>
          <t>～</t>
        </is>
      </c>
      <c r="H7" s="9" t="n"/>
      <c r="I7" s="12" t="n"/>
    </row>
    <row r="8" ht="20.1" customHeight="1" s="643">
      <c r="B8" s="647" t="n"/>
      <c r="C8" s="14" t="n"/>
      <c r="D8" s="14" t="n"/>
      <c r="E8" s="15" t="n"/>
      <c r="F8" s="14" t="n"/>
      <c r="G8" s="14" t="n"/>
      <c r="H8" s="14" t="n"/>
      <c r="I8" s="16" t="n"/>
    </row>
    <row r="9" ht="20.1" customHeight="1" s="643">
      <c r="B9" s="647" t="n"/>
      <c r="C9" s="14" t="n"/>
      <c r="D9" s="14" t="n"/>
      <c r="E9" s="15" t="n"/>
      <c r="F9" s="14" t="n"/>
      <c r="G9" s="14" t="n"/>
      <c r="H9" s="14" t="n"/>
      <c r="I9" s="16" t="n"/>
    </row>
    <row r="10" ht="20.1" customHeight="1" s="643">
      <c r="B10" s="648" t="n"/>
      <c r="C10" s="14" t="n"/>
      <c r="D10" s="14" t="n"/>
      <c r="E10" s="15" t="n"/>
      <c r="F10" s="14" t="n"/>
      <c r="G10" s="14" t="n"/>
      <c r="H10" s="14" t="n"/>
      <c r="I10" s="16" t="n"/>
    </row>
    <row r="11" ht="20.1" customHeight="1" s="643">
      <c r="B11" s="647" t="n"/>
      <c r="C11" s="14" t="n"/>
      <c r="D11" s="14" t="n"/>
      <c r="E11" s="15" t="n"/>
      <c r="F11" s="14" t="n"/>
      <c r="G11" s="14" t="n"/>
      <c r="H11" s="14" t="n"/>
      <c r="I11" s="16" t="n"/>
    </row>
    <row r="12" ht="20.1" customHeight="1" s="643">
      <c r="B12" s="647" t="n"/>
      <c r="C12" s="14" t="n"/>
      <c r="D12" s="14" t="n"/>
      <c r="E12" s="15" t="n"/>
      <c r="F12" s="14" t="n"/>
      <c r="G12" s="14" t="n"/>
      <c r="H12" s="14" t="n"/>
      <c r="I12" s="16" t="n"/>
    </row>
    <row r="13" ht="20.1" customHeight="1" s="643">
      <c r="B13" s="647" t="n"/>
      <c r="C13" s="14" t="n"/>
      <c r="D13" s="14" t="n"/>
      <c r="E13" s="15" t="n"/>
      <c r="F13" s="14" t="n"/>
      <c r="G13" s="14" t="n"/>
      <c r="H13" s="14" t="n"/>
      <c r="I13" s="16" t="n"/>
    </row>
    <row r="14" ht="20.1" customHeight="1" s="643">
      <c r="B14" s="648" t="n"/>
      <c r="C14" s="14" t="n"/>
      <c r="D14" s="14" t="n"/>
      <c r="E14" s="15" t="n"/>
      <c r="F14" s="14" t="n"/>
      <c r="G14" s="14" t="n"/>
      <c r="H14" s="14" t="n"/>
      <c r="I14" s="16" t="n"/>
    </row>
    <row r="15" ht="20.1" customHeight="1" s="643">
      <c r="B15" s="648" t="n"/>
      <c r="C15" s="14" t="n"/>
      <c r="D15" s="14" t="n"/>
      <c r="E15" s="15" t="n"/>
      <c r="F15" s="14" t="n"/>
      <c r="G15" s="14" t="n"/>
      <c r="H15" s="14" t="n"/>
      <c r="I15" s="16" t="n"/>
    </row>
    <row r="16" ht="20.1" customHeight="1" s="643">
      <c r="B16" s="648" t="n"/>
      <c r="C16" s="14" t="n"/>
      <c r="D16" s="14" t="n"/>
      <c r="E16" s="15" t="n"/>
      <c r="F16" s="14" t="n"/>
      <c r="G16" s="14" t="n"/>
      <c r="H16" s="14" t="n"/>
      <c r="I16" s="16" t="n"/>
    </row>
    <row r="17" ht="20.1" customHeight="1" s="643">
      <c r="B17" s="648" t="n"/>
      <c r="C17" s="14" t="n"/>
      <c r="D17" s="14" t="n"/>
      <c r="E17" s="15" t="n"/>
      <c r="F17" s="14" t="n"/>
      <c r="G17" s="14" t="n"/>
      <c r="H17" s="14" t="n"/>
      <c r="I17" s="16" t="n"/>
    </row>
    <row r="18" ht="20.1" customHeight="1" s="643">
      <c r="B18" s="648" t="n"/>
      <c r="C18" s="14" t="n"/>
      <c r="D18" s="14" t="n"/>
      <c r="E18" s="15" t="n"/>
      <c r="F18" s="14" t="n"/>
      <c r="G18" s="14" t="n"/>
      <c r="H18" s="14" t="n"/>
      <c r="I18" s="16" t="n"/>
    </row>
    <row r="19" ht="20.1" customHeight="1" s="643">
      <c r="B19" s="648" t="n"/>
      <c r="C19" s="14" t="n"/>
      <c r="D19" s="14" t="n"/>
      <c r="E19" s="15" t="n"/>
      <c r="F19" s="14" t="n"/>
      <c r="G19" s="14" t="n"/>
      <c r="H19" s="14" t="n"/>
      <c r="I19" s="16" t="n"/>
    </row>
    <row r="20" ht="20.1" customHeight="1" s="643">
      <c r="B20" s="648" t="n"/>
      <c r="C20" s="14" t="n"/>
      <c r="D20" s="14" t="n"/>
      <c r="E20" s="15" t="n"/>
      <c r="F20" s="14" t="n"/>
      <c r="G20" s="14" t="n"/>
      <c r="H20" s="14" t="n"/>
      <c r="I20" s="16" t="n"/>
    </row>
    <row r="21" ht="20.1" customHeight="1" s="643">
      <c r="B21" s="648" t="n"/>
      <c r="C21" s="14" t="n"/>
      <c r="D21" s="14" t="n"/>
      <c r="E21" s="15" t="n"/>
      <c r="F21" s="14" t="n"/>
      <c r="G21" s="14" t="n"/>
      <c r="H21" s="14" t="n"/>
      <c r="I21" s="16" t="n"/>
    </row>
    <row r="22" ht="20.1" customHeight="1" s="643">
      <c r="B22" s="648" t="n"/>
      <c r="C22" s="14" t="n"/>
      <c r="D22" s="14" t="n"/>
      <c r="E22" s="15" t="n"/>
      <c r="F22" s="14" t="n"/>
      <c r="G22" s="14" t="n"/>
      <c r="H22" s="14" t="n"/>
      <c r="I22" s="16" t="n"/>
    </row>
    <row r="23" ht="20.1" customHeight="1" s="643">
      <c r="B23" s="648" t="n"/>
      <c r="C23" s="14" t="n"/>
      <c r="D23" s="14" t="n"/>
      <c r="E23" s="15" t="n"/>
      <c r="F23" s="14" t="n"/>
      <c r="G23" s="14" t="n"/>
      <c r="H23" s="14" t="n"/>
      <c r="I23" s="16" t="n"/>
    </row>
    <row r="24" ht="20.1" customHeight="1" s="643">
      <c r="B24" s="648" t="n"/>
      <c r="C24" s="14" t="n"/>
      <c r="D24" s="14" t="n"/>
      <c r="E24" s="15" t="n"/>
      <c r="F24" s="14" t="n"/>
      <c r="G24" s="14" t="n"/>
      <c r="H24" s="14" t="n"/>
      <c r="I24" s="16" t="n"/>
    </row>
    <row r="25" ht="20.1" customHeight="1" s="643">
      <c r="B25" s="649" t="n"/>
      <c r="C25" s="19" t="n"/>
      <c r="D25" s="19" t="n"/>
      <c r="E25" s="20" t="n"/>
      <c r="F25" s="19" t="n"/>
      <c r="G25" s="19" t="n"/>
      <c r="H25" s="19" t="n"/>
      <c r="I25" s="21" t="n"/>
    </row>
    <row r="26" ht="20.1" customHeight="1" s="643">
      <c r="B26" s="22" t="n"/>
      <c r="C26" s="22" t="n"/>
      <c r="D26" s="22" t="n"/>
      <c r="E26" s="22" t="n"/>
      <c r="F26" s="22" t="n"/>
      <c r="G26" s="23" t="n"/>
      <c r="H26" s="24" t="n"/>
      <c r="I26" s="650">
        <f>SUM(I7:I25)</f>
        <v/>
      </c>
    </row>
    <row r="27">
      <c r="E27" s="26" t="n"/>
      <c r="I27" s="27" t="n"/>
    </row>
    <row r="28">
      <c r="E28" s="26" t="n"/>
    </row>
    <row r="29">
      <c r="E29" s="26" t="n"/>
    </row>
    <row r="101">
      <c r="E101" s="28" t="inlineStr">
        <is>
          <t xml:space="preserve">　ＪＲ</t>
        </is>
      </c>
    </row>
    <row r="102">
      <c r="E102" s="29" t="inlineStr">
        <is>
          <t>地下鉄</t>
        </is>
      </c>
    </row>
    <row r="103">
      <c r="E103" s="29" t="inlineStr">
        <is>
          <t>バス</t>
        </is>
      </c>
    </row>
    <row r="104">
      <c r="E104" s="322" t="inlineStr">
        <is>
          <t>その他</t>
        </is>
      </c>
    </row>
  </sheetData>
  <mergeCells count="2">
    <mergeCell ref="D2:F2"/>
    <mergeCell ref="F6:H6"/>
  </mergeCells>
  <dataValidations count="2">
    <dataValidation sqref="E6" showErrorMessage="1" showInputMessage="1" allowBlank="0" type="list">
      <formula1>$E$101:$E$103</formula1>
      <formula2>0</formula2>
    </dataValidation>
    <dataValidation sqref="E7:E25" showErrorMessage="1" showInputMessage="1" allowBlank="0" type="list">
      <formula1>$E$100:$E$104</formula1>
      <formula2>0</formula2>
    </dataValidation>
  </dataValidations>
  <pageMargins left="0.75" right="0.75" top="1" bottom="1" header="0.5118055555555555" footer="0.5118055555555555"/>
  <pageSetup orientation="landscape" paperSize="9" firstPageNumber="0" horizontalDpi="300" verticalDpi="300"/>
</worksheet>
</file>

<file path=xl/worksheets/sheet2.xml><?xml version="1.0" encoding="utf-8"?>
<worksheet xmlns="http://schemas.openxmlformats.org/spreadsheetml/2006/main">
  <sheetPr codeName="Sheet10">
    <tabColor theme="7" tint="0.5999938962981048"/>
    <outlinePr summaryBelow="1" summaryRight="1"/>
    <pageSetUpPr/>
  </sheetPr>
  <dimension ref="B2:BO116"/>
  <sheetViews>
    <sheetView view="pageBreakPreview" topLeftCell="H99" zoomScale="98" zoomScaleNormal="100" zoomScaleSheetLayoutView="70" workbookViewId="0">
      <selection activeCell="K21" sqref="K21"/>
    </sheetView>
  </sheetViews>
  <sheetFormatPr baseColWidth="8" defaultColWidth="9" defaultRowHeight="13.5"/>
  <cols>
    <col width="4" customWidth="1" style="135" min="1" max="1"/>
    <col width="9" customWidth="1" style="135" min="2" max="2"/>
    <col width="10.875" customWidth="1" style="135" min="3" max="3"/>
    <col width="9" customWidth="1" style="135" min="4" max="4"/>
    <col width="7.375" customWidth="1" style="135" min="5" max="5"/>
    <col width="10.25" customWidth="1" style="135" min="6" max="6"/>
    <col width="3.625" customWidth="1" style="135" min="7" max="7"/>
    <col width="9" customWidth="1" style="135" min="8" max="13"/>
    <col width="2.125" customWidth="1" style="135" min="14" max="16"/>
    <col width="9" customWidth="1" style="135" min="17" max="25"/>
    <col width="17.625" customWidth="1" style="135" min="26" max="26"/>
    <col width="9" customWidth="1" style="135" min="27" max="16384"/>
  </cols>
  <sheetData>
    <row r="2" ht="24" customHeight="1" s="643">
      <c r="B2" s="468" t="inlineStr">
        <is>
          <t>月末書類作成方法</t>
        </is>
      </c>
      <c r="D2" s="166" t="n"/>
    </row>
    <row r="4" ht="24" customHeight="1" s="643">
      <c r="B4" s="164" t="inlineStr">
        <is>
          <t>【1】勤務表</t>
        </is>
      </c>
    </row>
    <row r="5" ht="5.25" customHeight="1" s="643">
      <c r="B5" s="159" t="n"/>
    </row>
    <row r="6" ht="6" customHeight="1" s="643">
      <c r="B6" s="159" t="n"/>
    </row>
    <row r="7">
      <c r="B7" s="159" t="inlineStr">
        <is>
          <t>休日の曜日が決まっており、定時時間が同じ人は下記を使用する事により、</t>
        </is>
      </c>
    </row>
    <row r="8">
      <c r="B8" s="159" t="inlineStr">
        <is>
          <t xml:space="preserve">　　よりスピーディに月末書類を完成させることが可能です！</t>
        </is>
      </c>
    </row>
    <row r="10" ht="14.25" customHeight="1" s="643">
      <c r="B10" s="163" t="inlineStr">
        <is>
          <t xml:space="preserve">　　承認者押印欄の右側に、以下のような枠が設けられております、</t>
        </is>
      </c>
    </row>
    <row r="11" ht="14.25" customHeight="1" s="643">
      <c r="B11" s="163" t="inlineStr">
        <is>
          <t xml:space="preserve">　　これを入力することにより、指定された曜日のみ所定時間が自動で入力されます。</t>
        </is>
      </c>
    </row>
    <row r="13">
      <c r="H13" s="469" t="n"/>
    </row>
    <row r="16">
      <c r="H16" s="470" t="n"/>
    </row>
    <row r="19" ht="17.25" customHeight="1" s="643">
      <c r="K19" s="161" t="inlineStr">
        <is>
          <t>※勤務形態の選択を忘れずに！※</t>
        </is>
      </c>
    </row>
    <row r="25" ht="17.25" customHeight="1" s="643">
      <c r="B25" s="161" t="inlineStr">
        <is>
          <t>※規定の休日、規定の所定稼働時間が反映されない場合※</t>
        </is>
      </c>
    </row>
    <row r="27" ht="17.25" customHeight="1" s="643">
      <c r="B27" s="165" t="inlineStr">
        <is>
          <t>勤務表上にある【所定時刻リセット】ボタンを押下すると、</t>
        </is>
      </c>
    </row>
    <row r="28" ht="17.25" customHeight="1" s="643">
      <c r="B28" s="165" t="inlineStr">
        <is>
          <t>設定した規定の休日、規定の所定時間が自動入力されるよう戻ります</t>
        </is>
      </c>
    </row>
    <row r="29" ht="17.25" customHeight="1" s="643">
      <c r="B29" s="165" t="n"/>
    </row>
    <row r="31" ht="17.25" customHeight="1" s="643">
      <c r="B31" s="161" t="inlineStr">
        <is>
          <t>1）まずは上部の年月日、所属名、名前、プロジェクト名称を入力！</t>
        </is>
      </c>
    </row>
    <row r="37" ht="18.75" customHeight="1" s="643">
      <c r="BO37" s="162" t="inlineStr">
        <is>
          <t>入力がうまくいかない場合</t>
        </is>
      </c>
    </row>
    <row r="43" ht="17.25" customHeight="1" s="643">
      <c r="B43" s="161" t="inlineStr">
        <is>
          <t>2）勤務時間を入力しましょう</t>
        </is>
      </c>
      <c r="F43" s="135" t="inlineStr">
        <is>
          <t>※休日の曜日が決まっており、定時時間が同じ人は、先に規定時間と休暇を入力しましょう。詳細は最上部にあります。</t>
        </is>
      </c>
    </row>
    <row r="52" ht="14.25" customHeight="1" s="643">
      <c r="B52" s="160" t="inlineStr">
        <is>
          <t xml:space="preserve">　　　※一番下の入力が正しい入力がされたときの表示です。</t>
        </is>
      </c>
    </row>
    <row r="53" ht="14.25" customHeight="1" s="643">
      <c r="B53" s="160" t="n"/>
    </row>
    <row r="62" ht="17.25" customHeight="1" s="643">
      <c r="B62" s="161" t="inlineStr">
        <is>
          <t>3）休暇を入力</t>
        </is>
      </c>
    </row>
    <row r="63" ht="14.25" customHeight="1" s="643">
      <c r="B63" s="163" t="inlineStr">
        <is>
          <t xml:space="preserve">　★休暇をプルダウンで選択すると、自動で所定時間が消えます。</t>
        </is>
      </c>
    </row>
    <row r="64" ht="14.25" customHeight="1" s="643">
      <c r="B64" s="163" t="inlineStr">
        <is>
          <t xml:space="preserve">　　（実働時間を入れてしまった場合は、手動での削除が必要となります）</t>
        </is>
      </c>
    </row>
    <row r="65" ht="14.25" customHeight="1" s="643">
      <c r="B65" s="163" t="n"/>
    </row>
    <row r="66" ht="14.25" customHeight="1" s="643">
      <c r="B66" s="163" t="n"/>
    </row>
    <row r="67" ht="17.25" customHeight="1" s="643"/>
    <row r="68" ht="17.25" customHeight="1" s="643">
      <c r="G68" s="160" t="inlineStr">
        <is>
          <t>★振替休暇</t>
        </is>
      </c>
    </row>
    <row r="69" ht="17.25" customHeight="1" s="643">
      <c r="H69" s="135" t="inlineStr">
        <is>
          <t>⇒入力内容は必ず「●/●分」</t>
        </is>
      </c>
    </row>
    <row r="70" ht="17.25" customHeight="1" s="643">
      <c r="H70" s="135" t="inlineStr">
        <is>
          <t xml:space="preserve">　※半日の場合は「●/●AM分」</t>
        </is>
      </c>
    </row>
    <row r="71" ht="17.25" customHeight="1" s="643">
      <c r="G71" s="160" t="inlineStr">
        <is>
          <t>★会社規定休</t>
        </is>
      </c>
    </row>
    <row r="72" ht="17.25" customHeight="1" s="643">
      <c r="H72" s="135" t="inlineStr">
        <is>
          <t>⇒先頭の文字は、必ず”夏”or”冬”</t>
        </is>
      </c>
    </row>
    <row r="73" ht="17.25" customHeight="1" s="643">
      <c r="H73" s="135" t="inlineStr">
        <is>
          <t xml:space="preserve">　　例）夏期休暇、夏期休暇（8/20分）</t>
        </is>
      </c>
    </row>
    <row r="74" ht="17.25" customHeight="1" s="643"/>
    <row r="77" ht="24" customHeight="1" s="643">
      <c r="B77" s="164" t="inlineStr">
        <is>
          <t>【2】申請書類を作成しましょう</t>
        </is>
      </c>
    </row>
    <row r="83" ht="17.25" customHeight="1" s="643">
      <c r="B83" s="165" t="inlineStr">
        <is>
          <t>★休暇申請書は勤務表を基に自動入力されます</t>
        </is>
      </c>
      <c r="Q83" s="165" t="inlineStr">
        <is>
          <t>★定期購入申請書は1か月の定期代、定期区間を入力してください</t>
        </is>
      </c>
    </row>
    <row r="101" ht="17.25" customHeight="1" s="643">
      <c r="B101" s="165" t="inlineStr">
        <is>
          <t>★休暇日や、理由が正しく入力されていない場合、最上段が赤くなります。</t>
        </is>
      </c>
      <c r="Q101" s="165" t="inlineStr">
        <is>
          <t>★バス申請書は移動距離を入力後、バスでの移動経路の地図を張り付けてください</t>
        </is>
      </c>
    </row>
    <row r="102">
      <c r="B102" s="135" t="inlineStr">
        <is>
          <t xml:space="preserve">　記載されている文字を確認して、修正しましょう。</t>
        </is>
      </c>
    </row>
    <row r="112" ht="17.25" customHeight="1" s="643">
      <c r="P112" s="165" t="inlineStr">
        <is>
          <t>★交通費申請書は必要事項入力後、乗り換え検索ボタンを押下で自動で入力してくれます</t>
        </is>
      </c>
    </row>
    <row r="113" ht="2.25" customHeight="1" s="643"/>
    <row r="114" ht="32.25" customHeight="1" s="643">
      <c r="P114" s="471" t="inlineStr">
        <is>
          <t>①～⑦へ移動区間や、日付を入力し乗り換え検索ボタンを押下するとブラウザが立ち上がり、
最安の交通費代を検索し自動で金額欄へ入力してくれます。</t>
        </is>
      </c>
    </row>
    <row r="115">
      <c r="P115" s="135" t="inlineStr">
        <is>
          <t>※乗り換え検索ボタン押下前は定期範囲外のみ移動区間へ入力し、乗り換え検索後に乗車駅～降車駅へと入力を修正してください</t>
        </is>
      </c>
    </row>
    <row r="116">
      <c r="P116" s="135" t="inlineStr">
        <is>
          <t>※Clearボタンを押下すると、日付・行き先・用件・金額・使用機関・移動経路・備考欄が空欄になります</t>
        </is>
      </c>
    </row>
  </sheetData>
  <mergeCells count="4">
    <mergeCell ref="B2:C2"/>
    <mergeCell ref="H13:I13"/>
    <mergeCell ref="H16:J16"/>
    <mergeCell ref="P114:Z114"/>
  </mergeCells>
  <pageMargins left="0.7" right="0.7" top="0.75" bottom="0.75" header="0.3" footer="0.3"/>
  <pageSetup orientation="portrait" paperSize="9" scale="33" horizontalDpi="1200" verticalDpi="1200"/>
</worksheet>
</file>

<file path=xl/worksheets/sheet3.xml><?xml version="1.0" encoding="utf-8"?>
<worksheet xmlns="http://schemas.openxmlformats.org/spreadsheetml/2006/main">
  <sheetPr codeName="Sheet5">
    <outlinePr summaryBelow="1" summaryRight="1"/>
    <pageSetUpPr fitToPage="1"/>
  </sheetPr>
  <dimension ref="A1:CE202"/>
  <sheetViews>
    <sheetView tabSelected="1" view="pageBreakPreview" topLeftCell="A7" zoomScale="85" zoomScaleNormal="85" zoomScaleSheetLayoutView="85" zoomScalePageLayoutView="85" workbookViewId="0">
      <selection activeCell="S4" sqref="S4:X4"/>
    </sheetView>
  </sheetViews>
  <sheetFormatPr baseColWidth="8" defaultColWidth="8.875" defaultRowHeight="13.5"/>
  <cols>
    <col width="9.375" customWidth="1" style="643" min="1" max="1"/>
    <col width="4.625" customWidth="1" style="643" min="2" max="2"/>
    <col width="8.625" customWidth="1" style="643" min="3" max="14"/>
    <col width="7.5" bestFit="1" customWidth="1" style="643" min="15" max="15"/>
    <col width="8.625" customWidth="1" style="643" min="16" max="16"/>
    <col width="7.25" customWidth="1" style="643" min="17" max="17"/>
    <col width="8.625" customWidth="1" style="643" min="18" max="19"/>
    <col width="15.625" customWidth="1" style="643" min="20" max="20"/>
    <col width="10" customWidth="1" style="643" min="21" max="21"/>
    <col width="4.125" customWidth="1" style="643" min="22" max="22"/>
    <col width="4.875" customWidth="1" style="643" min="23" max="23"/>
    <col width="4.125" customWidth="1" style="643" min="24" max="24"/>
    <col width="7.375" customWidth="1" style="643" min="25" max="25"/>
    <col width="16.375" customWidth="1" style="643" min="26" max="26"/>
    <col width="4.125" customWidth="1" style="643" min="27" max="27"/>
    <col width="1.5" customWidth="1" style="643" min="28" max="28"/>
    <col width="8.875" customWidth="1" style="643" min="52" max="53"/>
    <col hidden="1" width="8.875" customWidth="1" style="643" min="54" max="54"/>
    <col hidden="1" width="9" customWidth="1" style="643" min="55" max="66"/>
    <col hidden="1" width="6.625" customWidth="1" style="643" min="67" max="78"/>
    <col hidden="1" width="9" customWidth="1" style="643" min="79" max="80"/>
    <col hidden="1" width="8.875" customWidth="1" style="643" min="81" max="83"/>
    <col width="8.875" customWidth="1" style="643" min="84" max="85"/>
  </cols>
  <sheetData>
    <row r="1" ht="29.25" customHeight="1" s="643" thickBot="1">
      <c r="A1" s="478" t="inlineStr">
        <is>
          <t>勤　　務　　表</t>
        </is>
      </c>
      <c r="BA1" s="322" t="inlineStr">
        <is>
          <t>あ</t>
        </is>
      </c>
    </row>
    <row r="2" ht="18" customHeight="1" s="643">
      <c r="A2" s="170" t="n"/>
      <c r="B2" s="170" t="n"/>
      <c r="C2" s="170" t="n"/>
      <c r="D2" s="170" t="n"/>
      <c r="E2" s="170" t="n"/>
      <c r="F2" s="170" t="n"/>
      <c r="G2" s="170" t="n"/>
      <c r="H2" s="170" t="n"/>
      <c r="I2" s="170" t="n"/>
      <c r="J2" s="170" t="n"/>
      <c r="K2" s="170" t="n"/>
      <c r="L2" s="170" t="n"/>
      <c r="M2" s="170" t="n"/>
      <c r="N2" s="170" t="n"/>
      <c r="O2" s="170" t="n"/>
      <c r="P2" s="170" t="n"/>
      <c r="Q2" s="170" t="n"/>
      <c r="R2" s="170" t="n"/>
      <c r="S2" s="170" t="n"/>
      <c r="T2" s="170" t="n"/>
      <c r="U2" s="170" t="n"/>
      <c r="V2" s="170" t="n"/>
      <c r="W2" s="170" t="n"/>
      <c r="X2" s="170" t="n"/>
      <c r="Y2" s="170" t="n"/>
      <c r="Z2" s="171" t="inlineStr">
        <is>
          <t>責任者承認</t>
        </is>
      </c>
      <c r="AA2" s="170" t="n"/>
      <c r="AC2" s="158" t="inlineStr">
        <is>
          <t>休日①</t>
        </is>
      </c>
      <c r="AD2" s="158" t="inlineStr">
        <is>
          <t>休日②</t>
        </is>
      </c>
      <c r="AE2" s="158" t="inlineStr">
        <is>
          <t>休日③</t>
        </is>
      </c>
      <c r="AF2" s="158" t="inlineStr">
        <is>
          <t>休日④</t>
        </is>
      </c>
    </row>
    <row r="3" ht="21" customHeight="1" s="643" thickBot="1">
      <c r="A3" s="172" t="n"/>
      <c r="B3" s="320" t="n"/>
      <c r="C3" s="320" t="n"/>
      <c r="D3" s="451" t="n"/>
      <c r="E3" s="320" t="n"/>
      <c r="F3" s="320" t="n"/>
      <c r="G3" s="452" t="n"/>
      <c r="H3" s="320" t="n"/>
      <c r="I3" s="320" t="n"/>
      <c r="J3" s="174" t="n"/>
      <c r="K3" s="174" t="n"/>
      <c r="L3" s="175" t="n"/>
      <c r="M3" s="175" t="n"/>
      <c r="N3" s="176" t="n"/>
      <c r="O3" s="176" t="n"/>
      <c r="P3" s="176" t="n"/>
      <c r="Q3" s="176" t="n"/>
      <c r="R3" s="176" t="n"/>
      <c r="S3" s="176" t="n"/>
      <c r="T3" s="176" t="n"/>
      <c r="U3" s="231" t="n">
        <v>2021</v>
      </c>
      <c r="V3" s="231" t="inlineStr">
        <is>
          <t>年</t>
        </is>
      </c>
      <c r="W3" s="231" t="n">
        <v>6</v>
      </c>
      <c r="X3" s="231" t="inlineStr">
        <is>
          <t>月</t>
        </is>
      </c>
      <c r="Y3" s="176" t="n"/>
      <c r="Z3" s="132" t="n"/>
      <c r="AA3" s="176" t="n"/>
      <c r="AC3" s="180" t="n"/>
      <c r="AD3" s="180" t="n"/>
      <c r="AE3" s="180" t="n"/>
      <c r="AF3" s="180" t="n"/>
    </row>
    <row r="4" ht="28.5" customHeight="1" s="643" thickTop="1">
      <c r="A4" s="172" t="n"/>
      <c r="B4" s="320" t="n"/>
      <c r="C4" s="469" t="inlineStr">
        <is>
          <t>プロジェクト名称：</t>
        </is>
      </c>
      <c r="D4" s="473" t="inlineStr">
        <is>
          <t>OCO-CCT-OCO-882</t>
        </is>
      </c>
      <c r="N4" s="473" t="n"/>
      <c r="O4" s="320" t="n"/>
      <c r="P4" s="320" t="n"/>
      <c r="Q4" s="320" t="n"/>
      <c r="R4" s="455" t="inlineStr">
        <is>
          <t>所属会社：</t>
        </is>
      </c>
      <c r="S4" s="488" t="inlineStr">
        <is>
          <t>株式会社オブジェクティブコード</t>
        </is>
      </c>
      <c r="Y4" s="167" t="n"/>
      <c r="Z4" s="133" t="n"/>
      <c r="AA4" s="167" t="n"/>
      <c r="AC4" s="158" t="inlineStr">
        <is>
          <t>開始</t>
        </is>
      </c>
      <c r="AD4" s="158" t="inlineStr">
        <is>
          <t>終了</t>
        </is>
      </c>
      <c r="AE4" s="158" t="inlineStr">
        <is>
          <t>休憩開始</t>
        </is>
      </c>
      <c r="AF4" s="158" t="inlineStr">
        <is>
          <t>休憩終り</t>
        </is>
      </c>
      <c r="BO4" s="490" t="inlineStr">
        <is>
          <t>一日目</t>
        </is>
      </c>
      <c r="BP4" s="651" t="n"/>
      <c r="BQ4" s="651" t="n"/>
      <c r="BR4" s="651" t="n"/>
      <c r="BS4" s="652" t="n"/>
      <c r="BT4" s="490" t="inlineStr">
        <is>
          <t>二日目</t>
        </is>
      </c>
      <c r="BU4" s="651" t="n"/>
      <c r="BV4" s="651" t="n"/>
      <c r="BW4" s="652" t="n"/>
      <c r="BX4" s="490" t="inlineStr">
        <is>
          <t>三日目</t>
        </is>
      </c>
      <c r="BY4" s="651" t="n"/>
      <c r="BZ4" s="652" t="n"/>
      <c r="CC4" s="313" t="inlineStr">
        <is>
          <t>勤務形態</t>
        </is>
      </c>
      <c r="CD4" s="313" t="inlineStr">
        <is>
          <t>標準実働</t>
        </is>
      </c>
    </row>
    <row r="5" ht="28.5" customHeight="1" s="643" thickBot="1">
      <c r="A5" s="320" t="n"/>
      <c r="B5" s="477" t="inlineStr">
        <is>
          <t>勤務形態：</t>
        </is>
      </c>
      <c r="D5" s="473" t="inlineStr">
        <is>
          <t>≪通常≫</t>
        </is>
      </c>
      <c r="F5" s="320" t="n"/>
      <c r="G5" s="320" t="n"/>
      <c r="H5" s="320" t="n"/>
      <c r="I5" s="320" t="n"/>
      <c r="J5" s="320" t="n"/>
      <c r="K5" s="320" t="n"/>
      <c r="L5" s="178" t="n"/>
      <c r="M5" s="319" t="n"/>
      <c r="N5" s="489" t="n"/>
      <c r="O5" s="177" t="n"/>
      <c r="P5" s="320" t="n"/>
      <c r="Q5" s="482" t="inlineStr">
        <is>
          <t>作業者氏名：</t>
        </is>
      </c>
      <c r="S5" s="489" t="inlineStr">
        <is>
          <t>根本 夏樹</t>
        </is>
      </c>
      <c r="Y5" s="320" t="n"/>
      <c r="Z5" s="134" t="n"/>
      <c r="AA5" s="320" t="n"/>
      <c r="AC5" s="179" t="n"/>
      <c r="AD5" s="179" t="n"/>
      <c r="AE5" s="179" t="n"/>
      <c r="AF5" s="179" t="n"/>
      <c r="BO5" s="490" t="inlineStr">
        <is>
          <t>深夜</t>
        </is>
      </c>
      <c r="BP5" s="652" t="n"/>
      <c r="BQ5" s="490" t="inlineStr">
        <is>
          <t>昼間</t>
        </is>
      </c>
      <c r="BR5" s="652" t="n"/>
      <c r="BS5" s="490" t="inlineStr">
        <is>
          <t>深夜</t>
        </is>
      </c>
      <c r="BT5" s="652" t="n"/>
      <c r="BU5" s="490" t="inlineStr">
        <is>
          <t>昼間</t>
        </is>
      </c>
      <c r="BV5" s="652" t="n"/>
      <c r="BW5" s="490" t="inlineStr">
        <is>
          <t>深夜</t>
        </is>
      </c>
      <c r="BX5" s="652" t="n"/>
      <c r="BY5" s="490" t="inlineStr">
        <is>
          <t>昼間</t>
        </is>
      </c>
      <c r="BZ5" s="652" t="n"/>
      <c r="CC5" s="279">
        <f>$D$5</f>
        <v/>
      </c>
      <c r="CD5" s="280">
        <f>IF($CC$5="通常",0,SUM($CE$8:$CE$38)*8)</f>
        <v/>
      </c>
    </row>
    <row r="6" ht="14.25" customHeight="1" s="643" thickBot="1">
      <c r="A6" s="320" t="n"/>
      <c r="B6" s="320" t="n"/>
      <c r="C6" s="320" t="n"/>
      <c r="D6" s="320" t="n"/>
      <c r="E6" s="320" t="n"/>
      <c r="F6" s="320" t="n"/>
      <c r="G6" s="320" t="n"/>
      <c r="H6" s="320" t="n"/>
      <c r="I6" s="320" t="n"/>
      <c r="J6" s="320" t="n"/>
      <c r="K6" s="320" t="n"/>
      <c r="L6" s="320" t="n"/>
      <c r="M6" s="320" t="n"/>
      <c r="N6" s="320" t="n"/>
      <c r="O6" s="320" t="n"/>
      <c r="P6" s="320" t="n"/>
      <c r="Q6" s="320" t="n"/>
      <c r="R6" s="320" t="n"/>
      <c r="S6" s="320" t="n"/>
      <c r="T6" s="320" t="n"/>
      <c r="U6" s="320" t="n"/>
      <c r="V6" s="320" t="n"/>
      <c r="W6" s="320" t="n"/>
      <c r="X6" s="320" t="n"/>
      <c r="Y6" s="320" t="n"/>
      <c r="Z6" s="320" t="n"/>
      <c r="AA6" s="320" t="n"/>
      <c r="AC6" s="322" t="inlineStr">
        <is>
          <t>※時間は必ず半角で入力してください。</t>
        </is>
      </c>
      <c r="BO6" s="88" t="n">
        <v>1</v>
      </c>
      <c r="BP6" s="87" t="n"/>
      <c r="BQ6" s="86" t="n">
        <v>0</v>
      </c>
      <c r="BR6" s="85" t="n"/>
      <c r="BS6" s="88" t="n">
        <v>1</v>
      </c>
      <c r="BT6" s="90" t="inlineStr">
        <is>
          <t>翌5時</t>
        </is>
      </c>
      <c r="BU6" s="86" t="n">
        <v>0</v>
      </c>
      <c r="BV6" s="89" t="inlineStr">
        <is>
          <t>翌22時</t>
        </is>
      </c>
      <c r="BW6" s="88" t="n">
        <v>1</v>
      </c>
      <c r="BX6" s="87" t="inlineStr">
        <is>
          <t>翌々5時</t>
        </is>
      </c>
      <c r="BY6" s="86" t="n">
        <v>0</v>
      </c>
      <c r="BZ6" s="85" t="inlineStr">
        <is>
          <t>翌々22時</t>
        </is>
      </c>
    </row>
    <row r="7" ht="27" customHeight="1" s="643" thickBot="1">
      <c r="A7" s="306" t="inlineStr">
        <is>
          <t>日付</t>
        </is>
      </c>
      <c r="B7" s="307" t="inlineStr">
        <is>
          <t>曜日</t>
        </is>
      </c>
      <c r="C7" s="299" t="inlineStr">
        <is>
          <t>所定開始</t>
        </is>
      </c>
      <c r="D7" s="299" t="inlineStr">
        <is>
          <t>所定終了</t>
        </is>
      </c>
      <c r="E7" s="300" t="inlineStr">
        <is>
          <t>休憩開始
①</t>
        </is>
      </c>
      <c r="F7" s="300" t="inlineStr">
        <is>
          <t>休憩終了
①</t>
        </is>
      </c>
      <c r="G7" s="300" t="inlineStr">
        <is>
          <t>休憩開始
②</t>
        </is>
      </c>
      <c r="H7" s="300" t="inlineStr">
        <is>
          <t>休憩終了
②</t>
        </is>
      </c>
      <c r="I7" s="300" t="inlineStr">
        <is>
          <t>所定実働
時間</t>
        </is>
      </c>
      <c r="J7" s="301" t="inlineStr">
        <is>
          <t>開始時間</t>
        </is>
      </c>
      <c r="K7" s="302" t="inlineStr">
        <is>
          <t>終了時間</t>
        </is>
      </c>
      <c r="L7" s="301" t="inlineStr">
        <is>
          <t>休憩(昼)</t>
        </is>
      </c>
      <c r="M7" s="303" t="inlineStr">
        <is>
          <t>休憩(夜)
22時~5時</t>
        </is>
      </c>
      <c r="N7" s="303" t="inlineStr">
        <is>
          <t>実働時間
(数値)</t>
        </is>
      </c>
      <c r="O7" s="304" t="inlineStr">
        <is>
          <t>遅刻早退</t>
        </is>
      </c>
      <c r="P7" s="304" t="inlineStr">
        <is>
          <t>欠勤</t>
        </is>
      </c>
      <c r="Q7" s="453">
        <f>IF($CC$5="≪通常≫","週計","月計")</f>
        <v/>
      </c>
      <c r="R7" s="479" t="inlineStr">
        <is>
          <t>時間外</t>
        </is>
      </c>
      <c r="S7" s="479" t="inlineStr">
        <is>
          <t>深夜</t>
        </is>
      </c>
      <c r="T7" s="479" t="inlineStr">
        <is>
          <t>状態</t>
        </is>
      </c>
      <c r="U7" s="653" t="inlineStr">
        <is>
          <t>備考</t>
        </is>
      </c>
      <c r="V7" s="654" t="n"/>
      <c r="W7" s="654" t="n"/>
      <c r="X7" s="654" t="n"/>
      <c r="Y7" s="654" t="n"/>
      <c r="Z7" s="654" t="n"/>
      <c r="AA7" s="655" t="n"/>
      <c r="BC7" s="313" t="inlineStr">
        <is>
          <t>遅刻早退</t>
        </is>
      </c>
      <c r="BD7" s="313" t="inlineStr">
        <is>
          <t>欠勤</t>
        </is>
      </c>
      <c r="BE7" s="313" t="inlineStr">
        <is>
          <t>週目</t>
        </is>
      </c>
      <c r="BF7" s="313" t="n"/>
      <c r="BG7" s="313" t="inlineStr">
        <is>
          <t>時間外の週計</t>
        </is>
      </c>
      <c r="BH7" s="313" t="n"/>
      <c r="BI7" s="313" t="inlineStr">
        <is>
          <t>時間外を引いた週計</t>
        </is>
      </c>
      <c r="BJ7" s="313" t="n"/>
      <c r="BK7" s="313" t="inlineStr">
        <is>
          <t>40時間超えの週計</t>
        </is>
      </c>
      <c r="BL7" s="279">
        <f>IF($CC$5="≪通常≫","週計","月計")</f>
        <v/>
      </c>
      <c r="BM7" s="313" t="inlineStr">
        <is>
          <t>時間外</t>
        </is>
      </c>
      <c r="BN7" s="313" t="inlineStr">
        <is>
          <t>深夜</t>
        </is>
      </c>
      <c r="BO7" s="656" t="n">
        <v>0</v>
      </c>
      <c r="BP7" s="657" t="n">
        <v>0.2083333333333333</v>
      </c>
      <c r="BQ7" s="658" t="n">
        <v>0.2083333333333333</v>
      </c>
      <c r="BR7" s="659" t="n">
        <v>0.9166666666666666</v>
      </c>
      <c r="BS7" s="660" t="n">
        <v>0.9166666666666666</v>
      </c>
      <c r="BT7" s="657" t="n">
        <v>1.208333333333333</v>
      </c>
      <c r="BU7" s="658" t="n">
        <v>1.208333333333333</v>
      </c>
      <c r="BV7" s="659" t="n">
        <v>1.916666666666667</v>
      </c>
      <c r="BW7" s="660" t="n">
        <v>1.916666666666667</v>
      </c>
      <c r="BX7" s="657" t="n">
        <v>2.208333333333333</v>
      </c>
      <c r="BY7" s="658" t="n">
        <v>2.208333333333333</v>
      </c>
      <c r="BZ7" s="661" t="n">
        <v>2.916666666666667</v>
      </c>
      <c r="CA7" s="78" t="inlineStr">
        <is>
          <t>状態</t>
        </is>
      </c>
      <c r="CC7" s="313" t="inlineStr">
        <is>
          <t>曜日</t>
        </is>
      </c>
      <c r="CD7" s="313" t="inlineStr">
        <is>
          <t>祝日</t>
        </is>
      </c>
      <c r="CE7" s="313" t="inlineStr">
        <is>
          <t>稼働</t>
        </is>
      </c>
    </row>
    <row r="8" ht="21" customHeight="1" s="643">
      <c r="A8" s="662">
        <f>DATE(U3,W3,1)</f>
        <v/>
      </c>
      <c r="B8" s="282">
        <f>CHOOSE(WEEKDAY(A8),"日","月","火","水","木","金","土")</f>
        <v/>
      </c>
      <c r="C8" s="663" t="n"/>
      <c r="D8" s="663" t="n"/>
      <c r="E8" s="663" t="n"/>
      <c r="F8" s="663" t="n"/>
      <c r="G8" s="663" t="n"/>
      <c r="H8" s="663" t="n"/>
      <c r="I8" s="664">
        <f>IF(C8="",0,((D8-C8)-(F8-E8)-(H8-G8))*24)</f>
        <v/>
      </c>
      <c r="J8" s="665" t="n"/>
      <c r="K8" s="666" t="n"/>
      <c r="L8" s="667" t="n"/>
      <c r="M8" s="667" t="n"/>
      <c r="N8" s="668">
        <f>IF(C8="",0,((K8-J8)-(L8+M8))*24)</f>
        <v/>
      </c>
      <c r="O8" s="669">
        <f>IF(BC8=0,"",BC8)</f>
        <v/>
      </c>
      <c r="P8" s="669">
        <f>IF(BD8=0,"",BD8)</f>
        <v/>
      </c>
      <c r="Q8" s="669">
        <f>IF(BL8=0,"",BL8)</f>
        <v/>
      </c>
      <c r="R8" s="669">
        <f>IF(BM8=0,"",BM8)</f>
        <v/>
      </c>
      <c r="S8" s="669">
        <f>IF(BN8=0,"",BN8)</f>
        <v/>
      </c>
      <c r="T8" s="670" t="n"/>
      <c r="U8" s="671" t="n"/>
      <c r="V8" s="672" t="n"/>
      <c r="W8" s="672" t="n"/>
      <c r="X8" s="672" t="n"/>
      <c r="Y8" s="672" t="n"/>
      <c r="Z8" s="672" t="n"/>
      <c r="AA8" s="673" t="n"/>
      <c r="AB8" s="76" t="n"/>
      <c r="AC8" s="233" t="n"/>
      <c r="AF8" s="232" t="n"/>
      <c r="BB8" s="280">
        <f>IF(U8="",J8&gt;0,FALSE)</f>
        <v/>
      </c>
      <c r="BC8" s="674">
        <f>IF(AND(C8&lt;&gt;"",J8="",T8&lt;&gt;"欠勤"),"★",IF(T8="欠勤","",(IF(C8&lt;J8,J8-C8,0)+IF(D8&gt;K8,D8-K8,0))*24))</f>
        <v/>
      </c>
      <c r="BD8" s="674">
        <f>IF(OR(AND(COUNTA(C8)&gt;1,COUNTA(J8:K8)=0,COUNTA(C7)&gt;1),T8="欠勤"),IF(I8&gt;8,I8,8),0)</f>
        <v/>
      </c>
      <c r="BE8" s="287">
        <f>CEILING((DAY(A8)+7-WEEKDAY(A8))/7,1)</f>
        <v/>
      </c>
      <c r="BF8" s="73" t="inlineStr">
        <is>
          <t>1週目</t>
        </is>
      </c>
      <c r="BG8" s="287">
        <f>SUMIF(BE8:BE38,1,BM8:BM38)</f>
        <v/>
      </c>
      <c r="BH8" s="73" t="inlineStr">
        <is>
          <t>1週目</t>
        </is>
      </c>
      <c r="BI8" s="287">
        <f>SUMIF(BE8:BE38,1,N8:N38)-BG8</f>
        <v/>
      </c>
      <c r="BJ8" s="73" t="inlineStr">
        <is>
          <t>1週目</t>
        </is>
      </c>
      <c r="BK8" s="287">
        <f>IF(BI8-40&gt;0,BI8-40,0)</f>
        <v/>
      </c>
      <c r="BL8" s="674">
        <f>IF($CC$5="≪シフト≫",0,IF(AND(BE8=1,B8="土"),$BI$8,IF(AND(BE8=2,B8="土"),$BI$9,IF(AND(BE8=3,B8="土"),$BI$10,IF(AND(BE8=4,B8="土"),$BI$11,IF(AND(BE8=5,B8="土"),$BI$12,IF(AND(BE8=6,B8="土"),$BI$13,0)))))))</f>
        <v/>
      </c>
      <c r="BM8" s="674">
        <f>IF($CC$5="≪通常≫",IF(N8&gt;8,N8-8,0),IF(N8&gt;I8,N8-I8,0))</f>
        <v/>
      </c>
      <c r="BN8" s="674">
        <f>SUMIF($BO$6:$BZ$6,1,$BO8:$BZ8)-(M8*24)</f>
        <v/>
      </c>
      <c r="BO8" s="675">
        <f>(IF(AND($J8&lt;$BP$7,$K8&gt;$BO$7),MIN($K8,$BP$7)-MAX($J8,$BO$7),0))*24</f>
        <v/>
      </c>
      <c r="BP8" s="676" t="n"/>
      <c r="BQ8" s="677">
        <f>(IF(AND($J8&lt;$BR$7,$K8&gt;$BQ$7),MIN($K8,$BR$7)-MAX($J8,$BQ$7),0))*24</f>
        <v/>
      </c>
      <c r="BR8" s="678" t="n"/>
      <c r="BS8" s="675">
        <f>(IF(AND($J8&lt;$BT$7,$K8&gt;$BS$7),MIN($K8,$BT$7)-MAX($J8,$BS$7),0))*24</f>
        <v/>
      </c>
      <c r="BT8" s="676" t="n"/>
      <c r="BU8" s="677">
        <f>(IF(AND($J8&lt;$BV$7,$K8&gt;$BU$7),MIN($K8,$BV$7)-MAX($J8,$BU$7),0))*24</f>
        <v/>
      </c>
      <c r="BV8" s="678" t="n"/>
      <c r="BW8" s="675">
        <f>(IF(AND($J8&lt;$BX$7,$K8&gt;$BW$7),MIN($K8,$BX$7)-MAX($J8,$BW$7),0))*24</f>
        <v/>
      </c>
      <c r="BX8" s="676" t="n"/>
      <c r="BY8" s="677">
        <f>(IF(AND($J8&lt;$BZ$7,$K8&gt;$BY$7),MIN($K8,$BZ$7)-MAX($J8,$BY$7),0))*24</f>
        <v/>
      </c>
      <c r="BZ8" s="678" t="n"/>
      <c r="CC8" s="287">
        <f>IF($A8="",0,WEEKDAY($A8))</f>
        <v/>
      </c>
      <c r="CD8" s="287">
        <f>IF($A8="",0,COUNTIF(祝日リスト!$B$2:$B$52,$A8))</f>
        <v/>
      </c>
      <c r="CE8" s="287">
        <f>IF($CC8=0,0,IF(OR($CC8=1,$CC8=7,$CD8=1),0,1))</f>
        <v/>
      </c>
    </row>
    <row r="9" ht="21" customHeight="1" s="643">
      <c r="A9" s="662">
        <f>A8+1</f>
        <v/>
      </c>
      <c r="B9" s="282">
        <f>CHOOSE(WEEKDAY(A9),"日","月","火","水","木","金","土")</f>
        <v/>
      </c>
      <c r="C9" s="663" t="n"/>
      <c r="D9" s="663" t="n"/>
      <c r="E9" s="663" t="n"/>
      <c r="F9" s="663" t="n"/>
      <c r="G9" s="663" t="n"/>
      <c r="H9" s="663" t="n"/>
      <c r="I9" s="664">
        <f>IF(C9="",0,((D9-C9)-(F9-E9)-(H9-G9))*24)</f>
        <v/>
      </c>
      <c r="J9" s="665" t="n"/>
      <c r="K9" s="666" t="n"/>
      <c r="L9" s="667" t="n"/>
      <c r="M9" s="667" t="n"/>
      <c r="N9" s="668">
        <f>IF(C9="",0,((K9-J9)-(L9+M9))*24)</f>
        <v/>
      </c>
      <c r="O9" s="669">
        <f>IF(BC9=0,"",BC9)</f>
        <v/>
      </c>
      <c r="P9" s="669">
        <f>IF(BD9=0,"",BD9)</f>
        <v/>
      </c>
      <c r="Q9" s="669">
        <f>IF(BL9=0,"",BL9)</f>
        <v/>
      </c>
      <c r="R9" s="669">
        <f>IF(BM9=0,"",BM9)</f>
        <v/>
      </c>
      <c r="S9" s="669">
        <f>IF(BN9=0,"",BN9)</f>
        <v/>
      </c>
      <c r="T9" s="670" t="n"/>
      <c r="U9" s="671" t="n"/>
      <c r="V9" s="672" t="n"/>
      <c r="W9" s="672" t="n"/>
      <c r="X9" s="672" t="n"/>
      <c r="Y9" s="672" t="n"/>
      <c r="Z9" s="672" t="n"/>
      <c r="AA9" s="673" t="n"/>
      <c r="AB9" s="72" t="n"/>
      <c r="AC9" s="233" t="n"/>
      <c r="AD9" s="322" t="n"/>
      <c r="BB9" s="280">
        <f>IF(U9="",J9&gt;0,FALSE)</f>
        <v/>
      </c>
      <c r="BC9" s="674">
        <f>IF(AND(C9&lt;&gt;"",J9="",T9&lt;&gt;"欠勤"),"★",IF(T9="欠勤","",(IF(C9&lt;J9,J9-C9,0)+IF(D9&gt;K9,D9-K9,0))*24))</f>
        <v/>
      </c>
      <c r="BD9" s="674">
        <f>IF(OR(AND(COUNTA(C9)&gt;1,COUNTA(J9:K9)=0,COUNTA(C8)&gt;1),T9="欠勤"),IF(I9&gt;8,I9,8),0)</f>
        <v/>
      </c>
      <c r="BE9" s="287">
        <f>CEILING((DAY(A9)+7-WEEKDAY(A9))/7,1)</f>
        <v/>
      </c>
      <c r="BF9" s="73" t="inlineStr">
        <is>
          <t>2週目</t>
        </is>
      </c>
      <c r="BG9" s="287">
        <f>SUMIF(BE8:BE38,2,BM8:BM38)</f>
        <v/>
      </c>
      <c r="BH9" s="73" t="inlineStr">
        <is>
          <t>2週目</t>
        </is>
      </c>
      <c r="BI9" s="287">
        <f>SUMIF(BE8:BE38,2,N8:N38)-BG9</f>
        <v/>
      </c>
      <c r="BJ9" s="73" t="inlineStr">
        <is>
          <t>2週目</t>
        </is>
      </c>
      <c r="BK9" s="287">
        <f>IF(BI9-40&gt;0,BI9-40,0)</f>
        <v/>
      </c>
      <c r="BL9" s="674">
        <f>IF($CC$5="≪シフト≫",0,IF(AND(BE9=1,B9="土"),$BI$8,IF(AND(BE9=2,B9="土"),$BI$9,IF(AND(BE9=3,B9="土"),$BI$10,IF(AND(BE9=4,B9="土"),$BI$11,IF(AND(BE9=5,B9="土"),$BI$12,IF(AND(BE9=6,B9="土"),$BI$13,0)))))))</f>
        <v/>
      </c>
      <c r="BM9" s="674">
        <f>IF($CC$5="≪通常≫",IF(N9&gt;8,N9-8,0),IF(N9&gt;I9,N9-I9,0))</f>
        <v/>
      </c>
      <c r="BN9" s="674">
        <f>SUMIF($BO$6:$BZ$6,1,$BO9:$BZ9)-(M9*24)</f>
        <v/>
      </c>
      <c r="BO9" s="675">
        <f>(IF(AND($J9&lt;$BP$7,$K9&gt;$BO$7),MIN($K9,$BP$7)-MAX($J9,$BO$7),0))*24</f>
        <v/>
      </c>
      <c r="BP9" s="679" t="n"/>
      <c r="BQ9" s="677">
        <f>(IF(AND($J9&lt;$BR$7,$K9&gt;$BQ$7),MIN($K9,$BR$7)-MAX($J9,$BQ$7),0))*24</f>
        <v/>
      </c>
      <c r="BR9" s="680" t="n"/>
      <c r="BS9" s="675">
        <f>(IF(AND($J9&lt;$BT$7,$K9&gt;$BS$7),MIN($K9,$BT$7)-MAX($J9,$BS$7),0))*24</f>
        <v/>
      </c>
      <c r="BT9" s="679" t="n"/>
      <c r="BU9" s="677">
        <f>(IF(AND($J9&lt;$BV$7,$K9&gt;$BU$7),MIN($K9,$BV$7)-MAX($J9,$BU$7),0))*24</f>
        <v/>
      </c>
      <c r="BV9" s="680" t="n"/>
      <c r="BW9" s="675">
        <f>(IF(AND($J9&lt;$BX$7,$K9&gt;$BW$7),MIN($K9,$BX$7)-MAX($J9,$BW$7),0))*24</f>
        <v/>
      </c>
      <c r="BX9" s="679" t="n"/>
      <c r="BY9" s="677">
        <f>(IF(AND($J9&lt;$BZ$7,$K9&gt;$BY$7),MIN($K9,$BZ$7)-MAX($J9,$BY$7),0))*24</f>
        <v/>
      </c>
      <c r="BZ9" s="680" t="n"/>
      <c r="CA9" s="322" t="inlineStr">
        <is>
          <t>遅刻</t>
        </is>
      </c>
      <c r="CC9" s="287">
        <f>IF($A9="",0,WEEKDAY($A9))</f>
        <v/>
      </c>
      <c r="CD9" s="287">
        <f>IF($A9="",0,COUNTIF(祝日リスト!$B$2:$B$52,$A9))</f>
        <v/>
      </c>
      <c r="CE9" s="287">
        <f>IF($CC9=0,0,IF(OR($CC9=1,$CC9=7,$CD9=1),0,1))</f>
        <v/>
      </c>
    </row>
    <row r="10" ht="21" customHeight="1" s="643">
      <c r="A10" s="662">
        <f>A9+1</f>
        <v/>
      </c>
      <c r="B10" s="282">
        <f>CHOOSE(WEEKDAY(A10),"日","月","火","水","木","金","土")</f>
        <v/>
      </c>
      <c r="C10" s="663" t="n"/>
      <c r="D10" s="663" t="n"/>
      <c r="E10" s="663" t="n"/>
      <c r="F10" s="663" t="n"/>
      <c r="G10" s="663" t="n"/>
      <c r="H10" s="663" t="n"/>
      <c r="I10" s="664">
        <f>IF(C10="",0,((D10-C10)-(F10-E10)-(H10-G10))*24)</f>
        <v/>
      </c>
      <c r="J10" s="665" t="n"/>
      <c r="K10" s="666" t="n"/>
      <c r="L10" s="667" t="n"/>
      <c r="M10" s="667" t="n"/>
      <c r="N10" s="668">
        <f>IF(C10="",0,((K10-J10)-(L10+M10))*24)</f>
        <v/>
      </c>
      <c r="O10" s="669">
        <f>IF(BC10=0,"",BC10)</f>
        <v/>
      </c>
      <c r="P10" s="669">
        <f>IF(BD10=0,"",BD10)</f>
        <v/>
      </c>
      <c r="Q10" s="669">
        <f>IF(BL10=0,"",BL10)</f>
        <v/>
      </c>
      <c r="R10" s="669">
        <f>IF(BM10=0,"",BM10)</f>
        <v/>
      </c>
      <c r="S10" s="669">
        <f>IF(BN10=0,"",BN10)</f>
        <v/>
      </c>
      <c r="T10" s="670" t="n"/>
      <c r="U10" s="671" t="n"/>
      <c r="V10" s="672" t="n"/>
      <c r="W10" s="672" t="n"/>
      <c r="X10" s="672" t="n"/>
      <c r="Y10" s="672" t="n"/>
      <c r="Z10" s="672" t="n"/>
      <c r="AA10" s="673" t="n"/>
      <c r="AC10" s="233" t="n"/>
      <c r="AD10" s="322" t="n"/>
      <c r="AG10" s="322" t="n"/>
      <c r="AH10" s="322" t="n"/>
      <c r="BB10" s="280">
        <f>IF(U10="",J10&gt;0,FALSE)</f>
        <v/>
      </c>
      <c r="BC10" s="674">
        <f>IF(AND(C10&lt;&gt;"",J10="",T10&lt;&gt;"欠勤"),"★",IF(T10="欠勤","",(IF(C10&lt;J10,J10-C10,0)+IF(D10&gt;K10,D10-K10,0))*24))</f>
        <v/>
      </c>
      <c r="BD10" s="674">
        <f>IF(OR(AND(COUNTA(C10)&gt;1,COUNTA(J10:K10)=0,COUNTA(C9)&gt;1),T10="欠勤"),IF(I10&gt;8,I10,8),0)</f>
        <v/>
      </c>
      <c r="BE10" s="287">
        <f>CEILING((DAY(A10)+7-WEEKDAY(A10))/7,1)</f>
        <v/>
      </c>
      <c r="BF10" s="73" t="inlineStr">
        <is>
          <t>3週目</t>
        </is>
      </c>
      <c r="BG10" s="287">
        <f>SUMIF(BE8:BE38,3,BM8:BM38)</f>
        <v/>
      </c>
      <c r="BH10" s="73" t="inlineStr">
        <is>
          <t>3週目</t>
        </is>
      </c>
      <c r="BI10" s="287">
        <f>SUMIF(BE8:BE38,3,N8:N38)-BG10</f>
        <v/>
      </c>
      <c r="BJ10" s="73" t="inlineStr">
        <is>
          <t>3週目</t>
        </is>
      </c>
      <c r="BK10" s="287">
        <f>IF(BI10-40&gt;0,BI10-40,0)</f>
        <v/>
      </c>
      <c r="BL10" s="674">
        <f>IF($CC$5="≪シフト≫",0,IF(AND(BE10=1,B10="土"),$BI$8,IF(AND(BE10=2,B10="土"),$BI$9,IF(AND(BE10=3,B10="土"),$BI$10,IF(AND(BE10=4,B10="土"),$BI$11,IF(AND(BE10=5,B10="土"),$BI$12,IF(AND(BE10=6,B10="土"),$BI$13,0)))))))</f>
        <v/>
      </c>
      <c r="BM10" s="674">
        <f>IF($CC$5="≪通常≫",IF(N10&gt;8,N10-8,0),IF(N10&gt;I10,N10-I10,0))</f>
        <v/>
      </c>
      <c r="BN10" s="674">
        <f>SUMIF($BO$6:$BZ$6,1,$BO10:$BZ10)-(M10*24)</f>
        <v/>
      </c>
      <c r="BO10" s="675">
        <f>(IF(AND($J10&lt;$BP$7,$K10&gt;$BO$7),MIN($K10,$BP$7)-MAX($J10,$BO$7),0))*24</f>
        <v/>
      </c>
      <c r="BP10" s="679" t="n"/>
      <c r="BQ10" s="677">
        <f>(IF(AND($J10&lt;$BR$7,$K10&gt;$BQ$7),MIN($K10,$BR$7)-MAX($J10,$BQ$7),0))*24</f>
        <v/>
      </c>
      <c r="BR10" s="680" t="n"/>
      <c r="BS10" s="675">
        <f>(IF(AND($J10&lt;$BT$7,$K10&gt;$BS$7),MIN($K10,$BT$7)-MAX($J10,$BS$7),0))*24</f>
        <v/>
      </c>
      <c r="BT10" s="679" t="n"/>
      <c r="BU10" s="677">
        <f>(IF(AND($J10&lt;$BV$7,$K10&gt;$BU$7),MIN($K10,$BV$7)-MAX($J10,$BU$7),0))*24</f>
        <v/>
      </c>
      <c r="BV10" s="680" t="n"/>
      <c r="BW10" s="675">
        <f>(IF(AND($J10&lt;$BX$7,$K10&gt;$BW$7),MIN($K10,$BX$7)-MAX($J10,$BW$7),0))*24</f>
        <v/>
      </c>
      <c r="BX10" s="679" t="n"/>
      <c r="BY10" s="677">
        <f>(IF(AND($J10&lt;$BZ$7,$K10&gt;$BY$7),MIN($K10,$BZ$7)-MAX($J10,$BY$7),0))*24</f>
        <v/>
      </c>
      <c r="BZ10" s="680" t="n"/>
      <c r="CA10" s="322" t="inlineStr">
        <is>
          <t>早退</t>
        </is>
      </c>
      <c r="CC10" s="287">
        <f>IF($A10="",0,WEEKDAY($A10))</f>
        <v/>
      </c>
      <c r="CD10" s="287">
        <f>IF($A10="",0,COUNTIF(祝日リスト!$B$2:$B$52,$A10))</f>
        <v/>
      </c>
      <c r="CE10" s="287">
        <f>IF($CC10=0,0,IF(OR($CC10=1,$CC10=7,$CD10=1),0,1))</f>
        <v/>
      </c>
    </row>
    <row r="11" ht="21" customHeight="1" s="643">
      <c r="A11" s="662">
        <f>A10+1</f>
        <v/>
      </c>
      <c r="B11" s="282">
        <f>CHOOSE(WEEKDAY(A11),"日","月","火","水","木","金","土")</f>
        <v/>
      </c>
      <c r="C11" s="663" t="n"/>
      <c r="D11" s="663" t="n"/>
      <c r="E11" s="663" t="n"/>
      <c r="F11" s="663" t="n"/>
      <c r="G11" s="663" t="n"/>
      <c r="H11" s="663" t="n"/>
      <c r="I11" s="664">
        <f>IF(C11="",0,((D11-C11)-(F11-E11)-(H11-G11))*24)</f>
        <v/>
      </c>
      <c r="J11" s="665" t="n"/>
      <c r="K11" s="666" t="n"/>
      <c r="L11" s="667" t="n"/>
      <c r="M11" s="667" t="n"/>
      <c r="N11" s="668">
        <f>IF(C11="",0,((K11-J11)-(L11+M11))*24)</f>
        <v/>
      </c>
      <c r="O11" s="669">
        <f>IF(BC11=0,"",BC11)</f>
        <v/>
      </c>
      <c r="P11" s="669">
        <f>IF(BD11=0,"",BD11)</f>
        <v/>
      </c>
      <c r="Q11" s="669">
        <f>IF(BL11=0,"",BL11)</f>
        <v/>
      </c>
      <c r="R11" s="669">
        <f>IF(BM11=0,"",BM11)</f>
        <v/>
      </c>
      <c r="S11" s="669">
        <f>IF(BN11=0,"",BN11)</f>
        <v/>
      </c>
      <c r="T11" s="670" t="n"/>
      <c r="U11" s="671" t="n"/>
      <c r="V11" s="672" t="n"/>
      <c r="W11" s="672" t="n"/>
      <c r="X11" s="672" t="n"/>
      <c r="Y11" s="672" t="n"/>
      <c r="Z11" s="672" t="n"/>
      <c r="AA11" s="673" t="n"/>
      <c r="AC11" s="233" t="n"/>
      <c r="AG11" s="233" t="n"/>
      <c r="AH11" s="232" t="n"/>
      <c r="BB11" s="280">
        <f>IF(U11="",J11&gt;0,FALSE)</f>
        <v/>
      </c>
      <c r="BC11" s="674">
        <f>IF(AND(C11&lt;&gt;"",J11="",T11&lt;&gt;"欠勤"),"★",IF(T11="欠勤","",(IF(C11&lt;J11,J11-C11,0)+IF(D11&gt;K11,D11-K11,0))*24))</f>
        <v/>
      </c>
      <c r="BD11" s="674">
        <f>IF(OR(AND(COUNTA(C11)&gt;1,COUNTA(J11:K11)=0,COUNTA(C10)&gt;1),T11="欠勤"),IF(I11&gt;8,I11,8),0)</f>
        <v/>
      </c>
      <c r="BE11" s="287">
        <f>CEILING((DAY(A11)+7-WEEKDAY(A11))/7,1)</f>
        <v/>
      </c>
      <c r="BF11" s="73" t="inlineStr">
        <is>
          <t>4週目</t>
        </is>
      </c>
      <c r="BG11" s="287">
        <f>SUMIF(BE8:BE38,4,BM8:BM38)</f>
        <v/>
      </c>
      <c r="BH11" s="73" t="inlineStr">
        <is>
          <t>4週目</t>
        </is>
      </c>
      <c r="BI11" s="287">
        <f>SUMIF(BE8:BE38,4,N8:N38)-BG11</f>
        <v/>
      </c>
      <c r="BJ11" s="73" t="inlineStr">
        <is>
          <t>4週目</t>
        </is>
      </c>
      <c r="BK11" s="287">
        <f>IF(BI11-40&gt;0,BI11-40,0)</f>
        <v/>
      </c>
      <c r="BL11" s="674">
        <f>IF($CC$5="≪シフト≫",0,IF(AND(BE11=1,B11="土"),$BI$8,IF(AND(BE11=2,B11="土"),$BI$9,IF(AND(BE11=3,B11="土"),$BI$10,IF(AND(BE11=4,B11="土"),$BI$11,IF(AND(BE11=5,B11="土"),$BI$12,IF(AND(BE11=6,B11="土"),$BI$13,0)))))))</f>
        <v/>
      </c>
      <c r="BM11" s="674">
        <f>IF($CC$5="≪通常≫",IF(N11&gt;8,N11-8,0),IF(N11&gt;I11,N11-I11,0))</f>
        <v/>
      </c>
      <c r="BN11" s="674">
        <f>SUMIF($BO$6:$BZ$6,1,$BO11:$BZ11)-(M11*24)</f>
        <v/>
      </c>
      <c r="BO11" s="675">
        <f>(IF(AND($J11&lt;$BP$7,$K11&gt;$BO$7),MIN($K11,$BP$7)-MAX($J11,$BO$7),0))*24</f>
        <v/>
      </c>
      <c r="BP11" s="679" t="n"/>
      <c r="BQ11" s="677">
        <f>(IF(AND($J11&lt;$BR$7,$K11&gt;$BQ$7),MIN($K11,$BR$7)-MAX($J11,$BQ$7),0))*24</f>
        <v/>
      </c>
      <c r="BR11" s="680" t="n"/>
      <c r="BS11" s="675">
        <f>(IF(AND($J11&lt;$BT$7,$K11&gt;$BS$7),MIN($K11,$BT$7)-MAX($J11,$BS$7),0))*24</f>
        <v/>
      </c>
      <c r="BT11" s="679" t="n"/>
      <c r="BU11" s="677">
        <f>(IF(AND($J11&lt;$BV$7,$K11&gt;$BU$7),MIN($K11,$BV$7)-MAX($J11,$BU$7),0))*24</f>
        <v/>
      </c>
      <c r="BV11" s="680" t="n"/>
      <c r="BW11" s="675">
        <f>(IF(AND($J11&lt;$BX$7,$K11&gt;$BW$7),MIN($K11,$BX$7)-MAX($J11,$BW$7),0))*24</f>
        <v/>
      </c>
      <c r="BX11" s="679" t="n"/>
      <c r="BY11" s="677">
        <f>(IF(AND($J11&lt;$BZ$7,$K11&gt;$BY$7),MIN($K11,$BZ$7)-MAX($J11,$BY$7),0))*24</f>
        <v/>
      </c>
      <c r="BZ11" s="680" t="n"/>
      <c r="CA11" s="322" t="inlineStr">
        <is>
          <t>欠勤</t>
        </is>
      </c>
      <c r="CC11" s="287">
        <f>IF($A11="",0,WEEKDAY($A11))</f>
        <v/>
      </c>
      <c r="CD11" s="287">
        <f>IF($A11="",0,COUNTIF(祝日リスト!$B$2:$B$52,$A11))</f>
        <v/>
      </c>
      <c r="CE11" s="287">
        <f>IF($CC11=0,0,IF(OR($CC11=1,$CC11=7,$CD11=1),0,1))</f>
        <v/>
      </c>
    </row>
    <row r="12" ht="21" customHeight="1" s="643">
      <c r="A12" s="662">
        <f>A11+1</f>
        <v/>
      </c>
      <c r="B12" s="282">
        <f>CHOOSE(WEEKDAY(A12),"日","月","火","水","木","金","土")</f>
        <v/>
      </c>
      <c r="C12" s="663" t="n"/>
      <c r="D12" s="663" t="n"/>
      <c r="E12" s="663" t="n"/>
      <c r="F12" s="663" t="n"/>
      <c r="G12" s="663" t="n"/>
      <c r="H12" s="663" t="n"/>
      <c r="I12" s="664">
        <f>IF(C12="",0,((D12-C12)-(F12-E12)-(H12-G12))*24)</f>
        <v/>
      </c>
      <c r="J12" s="665" t="n"/>
      <c r="K12" s="666" t="n"/>
      <c r="L12" s="667" t="n"/>
      <c r="M12" s="667" t="n"/>
      <c r="N12" s="668">
        <f>IF(C12="",0,((K12-J12)-(L12+M12))*24)</f>
        <v/>
      </c>
      <c r="O12" s="669">
        <f>IF(BC12=0,"",BC12)</f>
        <v/>
      </c>
      <c r="P12" s="669">
        <f>IF(BD12=0,"",BD12)</f>
        <v/>
      </c>
      <c r="Q12" s="669">
        <f>IF(BL12=0,"",BL12)</f>
        <v/>
      </c>
      <c r="R12" s="669">
        <f>IF(BM12=0,"",BM12)</f>
        <v/>
      </c>
      <c r="S12" s="669">
        <f>IF(BN12=0,"",BN12)</f>
        <v/>
      </c>
      <c r="T12" s="670" t="n"/>
      <c r="U12" s="671" t="n"/>
      <c r="V12" s="672" t="n"/>
      <c r="W12" s="672" t="n"/>
      <c r="X12" s="672" t="n"/>
      <c r="Y12" s="672" t="n"/>
      <c r="Z12" s="672" t="n"/>
      <c r="AA12" s="673" t="n"/>
      <c r="AB12" s="72" t="n"/>
      <c r="AG12" s="232" t="n"/>
      <c r="BB12" s="280">
        <f>IF(U12="",J12&gt;0,FALSE)</f>
        <v/>
      </c>
      <c r="BC12" s="674">
        <f>IF(AND(C12&lt;&gt;"",J12="",T12&lt;&gt;"欠勤"),"★",IF(T12="欠勤","",(IF(C12&lt;J12,J12-C12,0)+IF(D12&gt;K12,D12-K12,0))*24))</f>
        <v/>
      </c>
      <c r="BD12" s="674">
        <f>IF(OR(AND(COUNTA(C12)&gt;1,COUNTA(J12:K12)=0,COUNTA(C11)&gt;1),T12="欠勤"),IF(I12&gt;8,I12,8),0)</f>
        <v/>
      </c>
      <c r="BE12" s="287">
        <f>CEILING((DAY(A12)+7-WEEKDAY(A12))/7,1)</f>
        <v/>
      </c>
      <c r="BF12" s="73" t="inlineStr">
        <is>
          <t>5週目</t>
        </is>
      </c>
      <c r="BG12" s="287">
        <f>SUMIF(BE8:BE38,5,BM8:BM38)</f>
        <v/>
      </c>
      <c r="BH12" s="73" t="inlineStr">
        <is>
          <t>5週目</t>
        </is>
      </c>
      <c r="BI12" s="287">
        <f>SUMIF(BE8:BE38,5,N8:N38)-BG12</f>
        <v/>
      </c>
      <c r="BJ12" s="73" t="inlineStr">
        <is>
          <t>5週目</t>
        </is>
      </c>
      <c r="BK12" s="287">
        <f>IF(BI12-40&gt;0,BI12-40,0)</f>
        <v/>
      </c>
      <c r="BL12" s="674">
        <f>IF($CC$5="≪シフト≫",0,IF(AND(BE12=1,B12="土"),$BI$8,IF(AND(BE12=2,B12="土"),$BI$9,IF(AND(BE12=3,B12="土"),$BI$10,IF(AND(BE12=4,B12="土"),$BI$11,IF(AND(BE12=5,B12="土"),$BI$12,IF(AND(BE12=6,B12="土"),$BI$13,0)))))))</f>
        <v/>
      </c>
      <c r="BM12" s="674">
        <f>IF($CC$5="≪通常≫",IF(N12&gt;8,N12-8,0),IF(N12&gt;I12,N12-I12,0))</f>
        <v/>
      </c>
      <c r="BN12" s="674">
        <f>SUMIF($BO$6:$BZ$6,1,$BO12:$BZ12)-(M12*24)</f>
        <v/>
      </c>
      <c r="BO12" s="675">
        <f>(IF(AND($J12&lt;$BP$7,$K12&gt;$BO$7),MIN($K12,$BP$7)-MAX($J12,$BO$7),0))*24</f>
        <v/>
      </c>
      <c r="BP12" s="679" t="n"/>
      <c r="BQ12" s="677">
        <f>(IF(AND($J12&lt;$BR$7,$K12&gt;$BQ$7),MIN($K12,$BR$7)-MAX($J12,$BQ$7),0))*24</f>
        <v/>
      </c>
      <c r="BR12" s="680" t="n"/>
      <c r="BS12" s="675">
        <f>(IF(AND($J12&lt;$BT$7,$K12&gt;$BS$7),MIN($K12,$BT$7)-MAX($J12,$BS$7),0))*24</f>
        <v/>
      </c>
      <c r="BT12" s="679" t="n"/>
      <c r="BU12" s="677">
        <f>(IF(AND($J12&lt;$BV$7,$K12&gt;$BU$7),MIN($K12,$BV$7)-MAX($J12,$BU$7),0))*24</f>
        <v/>
      </c>
      <c r="BV12" s="680" t="n"/>
      <c r="BW12" s="675">
        <f>(IF(AND($J12&lt;$BX$7,$K12&gt;$BW$7),MIN($K12,$BX$7)-MAX($J12,$BW$7),0))*24</f>
        <v/>
      </c>
      <c r="BX12" s="679" t="n"/>
      <c r="BY12" s="677">
        <f>(IF(AND($J12&lt;$BZ$7,$K12&gt;$BY$7),MIN($K12,$BZ$7)-MAX($J12,$BY$7),0))*24</f>
        <v/>
      </c>
      <c r="BZ12" s="680" t="n"/>
      <c r="CA12" s="322" t="inlineStr">
        <is>
          <t>遅刻・早退</t>
        </is>
      </c>
      <c r="CC12" s="287">
        <f>IF($A12="",0,WEEKDAY($A12))</f>
        <v/>
      </c>
      <c r="CD12" s="287">
        <f>IF($A12="",0,COUNTIF(祝日リスト!$B$2:$B$52,$A12))</f>
        <v/>
      </c>
      <c r="CE12" s="287">
        <f>IF($CC12=0,0,IF(OR($CC12=1,$CC12=7,$CD12=1),0,1))</f>
        <v/>
      </c>
    </row>
    <row r="13" ht="21" customHeight="1" s="643">
      <c r="A13" s="662">
        <f>A12+1</f>
        <v/>
      </c>
      <c r="B13" s="282">
        <f>CHOOSE(WEEKDAY(A13),"日","月","火","水","木","金","土")</f>
        <v/>
      </c>
      <c r="C13" s="663" t="n"/>
      <c r="D13" s="663" t="n"/>
      <c r="E13" s="663" t="n"/>
      <c r="F13" s="663" t="n"/>
      <c r="G13" s="663" t="n"/>
      <c r="H13" s="663" t="n"/>
      <c r="I13" s="664">
        <f>IF(C13="",0,((D13-C13)-(F13-E13)-(H13-G13))*24)</f>
        <v/>
      </c>
      <c r="J13" s="665" t="n"/>
      <c r="K13" s="666" t="n"/>
      <c r="L13" s="667" t="n"/>
      <c r="M13" s="667" t="n"/>
      <c r="N13" s="668">
        <f>IF(C13="",0,((K13-J13)-(L13+M13))*24)</f>
        <v/>
      </c>
      <c r="O13" s="669">
        <f>IF(BC13=0,"",BC13)</f>
        <v/>
      </c>
      <c r="P13" s="669">
        <f>IF(BD13=0,"",BD13)</f>
        <v/>
      </c>
      <c r="Q13" s="669">
        <f>IF(BL13=0,"",BL13)</f>
        <v/>
      </c>
      <c r="R13" s="669">
        <f>IF(BM13=0,"",BM13)</f>
        <v/>
      </c>
      <c r="S13" s="669">
        <f>IF(BN13=0,"",BN13)</f>
        <v/>
      </c>
      <c r="T13" s="670" t="n"/>
      <c r="U13" s="671" t="n"/>
      <c r="V13" s="672" t="n"/>
      <c r="W13" s="672" t="n"/>
      <c r="X13" s="672" t="n"/>
      <c r="Y13" s="672" t="n"/>
      <c r="Z13" s="672" t="n"/>
      <c r="AA13" s="673" t="n"/>
      <c r="AB13" s="72" t="n"/>
      <c r="AC13" s="681" t="n"/>
      <c r="BB13" s="280">
        <f>IF(U13="",J13&gt;0,FALSE)</f>
        <v/>
      </c>
      <c r="BC13" s="674">
        <f>IF(AND(C13&lt;&gt;"",J13="",T13&lt;&gt;"欠勤"),"★",IF(T13="欠勤","",(IF(C13&lt;J13,J13-C13,0)+IF(D13&gt;K13,D13-K13,0))*24))</f>
        <v/>
      </c>
      <c r="BD13" s="674">
        <f>IF(OR(AND(COUNTA(C13)&gt;1,COUNTA(J13:K13)=0,COUNTA(C12)&gt;1),T13="欠勤"),IF(I13&gt;8,I13,8),0)</f>
        <v/>
      </c>
      <c r="BE13" s="287">
        <f>CEILING((DAY(A13)+7-WEEKDAY(A13))/7,1)</f>
        <v/>
      </c>
      <c r="BF13" s="73" t="inlineStr">
        <is>
          <t>6週目</t>
        </is>
      </c>
      <c r="BG13" s="287">
        <f>SUMIF(BE8:BE38,6,BM8:BM38)</f>
        <v/>
      </c>
      <c r="BH13" s="73" t="inlineStr">
        <is>
          <t>6週目</t>
        </is>
      </c>
      <c r="BI13" s="287">
        <f>SUMIF(BE8:BE38,6,N8:N38)-BG13</f>
        <v/>
      </c>
      <c r="BJ13" s="73" t="inlineStr">
        <is>
          <t>6週目</t>
        </is>
      </c>
      <c r="BK13" s="287">
        <f>IF(BI13-40&gt;0,BI13-40,0)</f>
        <v/>
      </c>
      <c r="BL13" s="674">
        <f>IF($CC$5="≪シフト≫",0,IF(AND(BE13=1,B13="土"),$BI$8,IF(AND(BE13=2,B13="土"),$BI$9,IF(AND(BE13=3,B13="土"),$BI$10,IF(AND(BE13=4,B13="土"),$BI$11,IF(AND(BE13=5,B13="土"),$BI$12,IF(AND(BE13=6,B13="土"),$BI$13,0)))))))</f>
        <v/>
      </c>
      <c r="BM13" s="674">
        <f>IF($CC$5="≪通常≫",IF(N13&gt;8,N13-8,0),IF(N13&gt;I13,N13-I13,0))</f>
        <v/>
      </c>
      <c r="BN13" s="674">
        <f>SUMIF($BO$6:$BZ$6,1,$BO13:$BZ13)-(M13*24)</f>
        <v/>
      </c>
      <c r="BO13" s="675">
        <f>(IF(AND($J13&lt;$BP$7,$K13&gt;$BO$7),MIN($K13,$BP$7)-MAX($J13,$BO$7),0))*24</f>
        <v/>
      </c>
      <c r="BP13" s="679" t="n"/>
      <c r="BQ13" s="677">
        <f>(IF(AND($J13&lt;$BR$7,$K13&gt;$BQ$7),MIN($K13,$BR$7)-MAX($J13,$BQ$7),0))*24</f>
        <v/>
      </c>
      <c r="BR13" s="680" t="n"/>
      <c r="BS13" s="675">
        <f>(IF(AND($J13&lt;$BT$7,$K13&gt;$BS$7),MIN($K13,$BT$7)-MAX($J13,$BS$7),0))*24</f>
        <v/>
      </c>
      <c r="BT13" s="679" t="n"/>
      <c r="BU13" s="677">
        <f>(IF(AND($J13&lt;$BV$7,$K13&gt;$BU$7),MIN($K13,$BV$7)-MAX($J13,$BU$7),0))*24</f>
        <v/>
      </c>
      <c r="BV13" s="680" t="n"/>
      <c r="BW13" s="675">
        <f>(IF(AND($J13&lt;$BX$7,$K13&gt;$BW$7),MIN($K13,$BX$7)-MAX($J13,$BW$7),0))*24</f>
        <v/>
      </c>
      <c r="BX13" s="679" t="n"/>
      <c r="BY13" s="677">
        <f>(IF(AND($J13&lt;$BZ$7,$K13&gt;$BY$7),MIN($K13,$BZ$7)-MAX($J13,$BY$7),0))*24</f>
        <v/>
      </c>
      <c r="BZ13" s="680" t="n"/>
      <c r="CA13" s="322" t="inlineStr">
        <is>
          <t>有給休暇</t>
        </is>
      </c>
      <c r="CC13" s="287">
        <f>IF($A13="",0,WEEKDAY($A13))</f>
        <v/>
      </c>
      <c r="CD13" s="287">
        <f>IF($A13="",0,COUNTIF(祝日リスト!$B$2:$B$52,$A13))</f>
        <v/>
      </c>
      <c r="CE13" s="287">
        <f>IF($CC13=0,0,IF(OR($CC13=1,$CC13=7,$CD13=1),0,1))</f>
        <v/>
      </c>
    </row>
    <row r="14" ht="21" customHeight="1" s="643">
      <c r="A14" s="662">
        <f>A13+1</f>
        <v/>
      </c>
      <c r="B14" s="282">
        <f>CHOOSE(WEEKDAY(A14),"日","月","火","水","木","金","土")</f>
        <v/>
      </c>
      <c r="C14" s="663" t="n"/>
      <c r="D14" s="663" t="n"/>
      <c r="E14" s="663" t="n"/>
      <c r="F14" s="663" t="n"/>
      <c r="G14" s="663" t="n"/>
      <c r="H14" s="663" t="n"/>
      <c r="I14" s="664">
        <f>IF(C14="",0,((D14-C14)-(F14-E14)-(H14-G14))*24)</f>
        <v/>
      </c>
      <c r="J14" s="665" t="n"/>
      <c r="K14" s="666" t="n"/>
      <c r="L14" s="667" t="n"/>
      <c r="M14" s="667" t="n"/>
      <c r="N14" s="668">
        <f>IF(C14="",0,((K14-J14)-(L14+M14))*24)</f>
        <v/>
      </c>
      <c r="O14" s="669">
        <f>IF(BC14=0,"",BC14)</f>
        <v/>
      </c>
      <c r="P14" s="669">
        <f>IF(BD14=0,"",BD14)</f>
        <v/>
      </c>
      <c r="Q14" s="669">
        <f>IF(BL14=0,"",BL14)</f>
        <v/>
      </c>
      <c r="R14" s="669">
        <f>IF(BM14=0,"",BM14)</f>
        <v/>
      </c>
      <c r="S14" s="669">
        <f>IF(BN14=0,"",BN14)</f>
        <v/>
      </c>
      <c r="T14" s="670" t="n"/>
      <c r="U14" s="671" t="n"/>
      <c r="V14" s="672" t="n"/>
      <c r="W14" s="672" t="n"/>
      <c r="X14" s="672" t="n"/>
      <c r="Y14" s="672" t="n"/>
      <c r="Z14" s="672" t="n"/>
      <c r="AA14" s="673" t="n"/>
      <c r="AB14" s="72" t="n"/>
      <c r="BB14" s="280">
        <f>IF(U14="",J14&gt;0,FALSE)</f>
        <v/>
      </c>
      <c r="BC14" s="674">
        <f>IF(AND(C14&lt;&gt;"",J14="",T14&lt;&gt;"欠勤"),"★",IF(T14="欠勤","",(IF(C14&lt;J14,J14-C14,0)+IF(D14&gt;K14,D14-K14,0))*24))</f>
        <v/>
      </c>
      <c r="BD14" s="674">
        <f>IF(OR(AND(COUNTA(C14)&gt;1,COUNTA(J14:K14)=0,COUNTA(C13)&gt;1),T14="欠勤"),IF(I14&gt;8,I14,8),0)</f>
        <v/>
      </c>
      <c r="BE14" s="287">
        <f>CEILING((DAY(A14)+7-WEEKDAY(A14))/7,1)</f>
        <v/>
      </c>
      <c r="BF14" s="65" t="n"/>
      <c r="BG14" s="65" t="n"/>
      <c r="BH14" s="65" t="n"/>
      <c r="BI14" s="65" t="n"/>
      <c r="BJ14" s="65" t="n"/>
      <c r="BK14" s="65" t="n"/>
      <c r="BL14" s="674">
        <f>IF($CC$5="≪シフト≫",0,IF(AND(BE14=1,B14="土"),$BI$8,IF(AND(BE14=2,B14="土"),$BI$9,IF(AND(BE14=3,B14="土"),$BI$10,IF(AND(BE14=4,B14="土"),$BI$11,IF(AND(BE14=5,B14="土"),$BI$12,IF(AND(BE14=6,B14="土"),$BI$13,0)))))))</f>
        <v/>
      </c>
      <c r="BM14" s="674">
        <f>IF($CC$5="≪通常≫",IF(N14&gt;8,N14-8,0),IF(N14&gt;I14,N14-I14,0))</f>
        <v/>
      </c>
      <c r="BN14" s="674">
        <f>SUMIF($BO$6:$BZ$6,1,$BO14:$BZ14)-(M14*24)</f>
        <v/>
      </c>
      <c r="BO14" s="675">
        <f>(IF(AND($J14&lt;$BP$7,$K14&gt;$BO$7),MIN($K14,$BP$7)-MAX($J14,$BO$7),0))*24</f>
        <v/>
      </c>
      <c r="BP14" s="679" t="n"/>
      <c r="BQ14" s="677">
        <f>(IF(AND($J14&lt;$BR$7,$K14&gt;$BQ$7),MIN($K14,$BR$7)-MAX($J14,$BQ$7),0))*24</f>
        <v/>
      </c>
      <c r="BR14" s="680" t="n"/>
      <c r="BS14" s="675">
        <f>(IF(AND($J14&lt;$BT$7,$K14&gt;$BS$7),MIN($K14,$BT$7)-MAX($J14,$BS$7),0))*24</f>
        <v/>
      </c>
      <c r="BT14" s="679" t="n"/>
      <c r="BU14" s="677">
        <f>(IF(AND($J14&lt;$BV$7,$K14&gt;$BU$7),MIN($K14,$BV$7)-MAX($J14,$BU$7),0))*24</f>
        <v/>
      </c>
      <c r="BV14" s="680" t="n"/>
      <c r="BW14" s="675">
        <f>(IF(AND($J14&lt;$BX$7,$K14&gt;$BW$7),MIN($K14,$BX$7)-MAX($J14,$BW$7),0))*24</f>
        <v/>
      </c>
      <c r="BX14" s="679" t="n"/>
      <c r="BY14" s="677">
        <f>(IF(AND($J14&lt;$BZ$7,$K14&gt;$BY$7),MIN($K14,$BZ$7)-MAX($J14,$BY$7),0))*24</f>
        <v/>
      </c>
      <c r="BZ14" s="680" t="n"/>
      <c r="CA14" s="322" t="inlineStr">
        <is>
          <t>有給休暇（半日）</t>
        </is>
      </c>
      <c r="CC14" s="287">
        <f>IF($A14="",0,WEEKDAY($A14))</f>
        <v/>
      </c>
      <c r="CD14" s="287">
        <f>IF($A14="",0,COUNTIF(祝日リスト!$B$2:$B$52,$A14))</f>
        <v/>
      </c>
      <c r="CE14" s="287">
        <f>IF($CC14=0,0,IF(OR($CC14=1,$CC14=7,$CD14=1),0,1))</f>
        <v/>
      </c>
    </row>
    <row r="15" ht="21" customHeight="1" s="643">
      <c r="A15" s="662">
        <f>A14+1</f>
        <v/>
      </c>
      <c r="B15" s="282">
        <f>CHOOSE(WEEKDAY(A15),"日","月","火","水","木","金","土")</f>
        <v/>
      </c>
      <c r="C15" s="663" t="n"/>
      <c r="D15" s="663" t="n"/>
      <c r="E15" s="663" t="n"/>
      <c r="F15" s="663" t="n"/>
      <c r="G15" s="663" t="n"/>
      <c r="H15" s="663" t="n"/>
      <c r="I15" s="664">
        <f>IF(C15="",0,((D15-C15)-(F15-E15)-(H15-G15))*24)</f>
        <v/>
      </c>
      <c r="J15" s="665" t="n"/>
      <c r="K15" s="666" t="n"/>
      <c r="L15" s="667" t="n"/>
      <c r="M15" s="667" t="n"/>
      <c r="N15" s="668">
        <f>IF(C15="",0,((K15-J15)-(L15+M15))*24)</f>
        <v/>
      </c>
      <c r="O15" s="669">
        <f>IF(BC15=0,"",BC15)</f>
        <v/>
      </c>
      <c r="P15" s="669">
        <f>IF(BD15=0,"",BD15)</f>
        <v/>
      </c>
      <c r="Q15" s="669">
        <f>IF(BL15=0,"",BL15)</f>
        <v/>
      </c>
      <c r="R15" s="669">
        <f>IF(BM15=0,"",BM15)</f>
        <v/>
      </c>
      <c r="S15" s="669">
        <f>IF(BN15=0,"",BN15)</f>
        <v/>
      </c>
      <c r="T15" s="670" t="n"/>
      <c r="U15" s="671" t="n"/>
      <c r="V15" s="672" t="n"/>
      <c r="W15" s="672" t="n"/>
      <c r="X15" s="672" t="n"/>
      <c r="Y15" s="672" t="n"/>
      <c r="Z15" s="672" t="n"/>
      <c r="AA15" s="673" t="n"/>
      <c r="AB15" s="72" t="n"/>
      <c r="BB15" s="280">
        <f>IF(U15="",J15&gt;0,FALSE)</f>
        <v/>
      </c>
      <c r="BC15" s="674">
        <f>IF(AND(C15&lt;&gt;"",J15="",T15&lt;&gt;"欠勤"),"★",IF(T15="欠勤","",(IF(C15&lt;J15,J15-C15,0)+IF(D15&gt;K15,D15-K15,0))*24))</f>
        <v/>
      </c>
      <c r="BD15" s="674">
        <f>IF(OR(AND(COUNTA(C15)&gt;1,COUNTA(J15:K15)=0,COUNTA(C14)&gt;1),T15="欠勤"),IF(I15&gt;8,I15,8),0)</f>
        <v/>
      </c>
      <c r="BE15" s="287">
        <f>CEILING((DAY(A15)+7-WEEKDAY(A15))/7,1)</f>
        <v/>
      </c>
      <c r="BF15" s="65" t="n"/>
      <c r="BG15" s="65" t="n"/>
      <c r="BH15" s="65" t="n"/>
      <c r="BI15" s="65" t="n"/>
      <c r="BJ15" s="65" t="n"/>
      <c r="BK15" s="65" t="n"/>
      <c r="BL15" s="674">
        <f>IF($CC$5="≪シフト≫",0,IF(AND(BE15=1,B15="土"),$BI$8,IF(AND(BE15=2,B15="土"),$BI$9,IF(AND(BE15=3,B15="土"),$BI$10,IF(AND(BE15=4,B15="土"),$BI$11,IF(AND(BE15=5,B15="土"),$BI$12,IF(AND(BE15=6,B15="土"),$BI$13,0)))))))</f>
        <v/>
      </c>
      <c r="BM15" s="674">
        <f>IF($CC$5="≪通常≫",IF(N15&gt;8,N15-8,0),IF(N15&gt;I15,N15-I15,0))</f>
        <v/>
      </c>
      <c r="BN15" s="674">
        <f>SUMIF($BO$6:$BZ$6,1,$BO15:$BZ15)-(M15*24)</f>
        <v/>
      </c>
      <c r="BO15" s="675">
        <f>(IF(AND($J15&lt;$BP$7,$K15&gt;$BO$7),MIN($K15,$BP$7)-MAX($J15,$BO$7),0))*24</f>
        <v/>
      </c>
      <c r="BP15" s="679" t="n"/>
      <c r="BQ15" s="677">
        <f>(IF(AND($J15&lt;$BR$7,$K15&gt;$BQ$7),MIN($K15,$BR$7)-MAX($J15,$BQ$7),0))*24</f>
        <v/>
      </c>
      <c r="BR15" s="680" t="n"/>
      <c r="BS15" s="675">
        <f>(IF(AND($J15&lt;$BT$7,$K15&gt;$BS$7),MIN($K15,$BT$7)-MAX($J15,$BS$7),0))*24</f>
        <v/>
      </c>
      <c r="BT15" s="679" t="n"/>
      <c r="BU15" s="677">
        <f>(IF(AND($J15&lt;$BV$7,$K15&gt;$BU$7),MIN($K15,$BV$7)-MAX($J15,$BU$7),0))*24</f>
        <v/>
      </c>
      <c r="BV15" s="680" t="n"/>
      <c r="BW15" s="675">
        <f>(IF(AND($J15&lt;$BX$7,$K15&gt;$BW$7),MIN($K15,$BX$7)-MAX($J15,$BW$7),0))*24</f>
        <v/>
      </c>
      <c r="BX15" s="679" t="n"/>
      <c r="BY15" s="677">
        <f>(IF(AND($J15&lt;$BZ$7,$K15&gt;$BY$7),MIN($K15,$BZ$7)-MAX($J15,$BY$7),0))*24</f>
        <v/>
      </c>
      <c r="BZ15" s="680" t="n"/>
      <c r="CA15" s="322" t="inlineStr">
        <is>
          <t>会社規定休</t>
        </is>
      </c>
      <c r="CC15" s="287">
        <f>IF($A15="",0,WEEKDAY($A15))</f>
        <v/>
      </c>
      <c r="CD15" s="287">
        <f>IF($A15="",0,COUNTIF(祝日リスト!$B$2:$B$52,$A15))</f>
        <v/>
      </c>
      <c r="CE15" s="287">
        <f>IF($CC15=0,0,IF(OR($CC15=1,$CC15=7,$CD15=1),0,1))</f>
        <v/>
      </c>
    </row>
    <row r="16" ht="21" customHeight="1" s="643">
      <c r="A16" s="662">
        <f>A15+1</f>
        <v/>
      </c>
      <c r="B16" s="282">
        <f>CHOOSE(WEEKDAY(A16),"日","月","火","水","木","金","土")</f>
        <v/>
      </c>
      <c r="C16" s="663" t="n"/>
      <c r="D16" s="663" t="n"/>
      <c r="E16" s="663" t="n"/>
      <c r="F16" s="663" t="n"/>
      <c r="G16" s="663" t="n"/>
      <c r="H16" s="663" t="n"/>
      <c r="I16" s="664">
        <f>IF(C16="",0,((D16-C16)-(F16-E16)-(H16-G16))*24)</f>
        <v/>
      </c>
      <c r="J16" s="665" t="n"/>
      <c r="K16" s="666" t="n"/>
      <c r="L16" s="667" t="n"/>
      <c r="M16" s="667" t="n"/>
      <c r="N16" s="668">
        <f>IF(C16="",0,((K16-J16)-(L16+M16))*24)</f>
        <v/>
      </c>
      <c r="O16" s="669">
        <f>IF(BC16=0,"",BC16)</f>
        <v/>
      </c>
      <c r="P16" s="669">
        <f>IF(BD16=0,"",BD16)</f>
        <v/>
      </c>
      <c r="Q16" s="669">
        <f>IF(BL16=0,"",BL16)</f>
        <v/>
      </c>
      <c r="R16" s="669">
        <f>IF(BM16=0,"",BM16)</f>
        <v/>
      </c>
      <c r="S16" s="669">
        <f>IF(BN16=0,"",BN16)</f>
        <v/>
      </c>
      <c r="T16" s="670" t="n"/>
      <c r="U16" s="671" t="n"/>
      <c r="V16" s="672" t="n"/>
      <c r="W16" s="672" t="n"/>
      <c r="X16" s="672" t="n"/>
      <c r="Y16" s="672" t="n"/>
      <c r="Z16" s="672" t="n"/>
      <c r="AA16" s="673" t="n"/>
      <c r="AB16" s="72" t="n"/>
      <c r="BB16" s="280">
        <f>IF(U16="",J16&gt;0,FALSE)</f>
        <v/>
      </c>
      <c r="BC16" s="674">
        <f>IF(AND(C16&lt;&gt;"",J16="",T16&lt;&gt;"欠勤"),"★",IF(T16="欠勤","",(IF(C16&lt;J16,J16-C16,0)+IF(D16&gt;K16,D16-K16,0))*24))</f>
        <v/>
      </c>
      <c r="BD16" s="674">
        <f>IF(OR(AND(COUNTA(C16)&gt;1,COUNTA(J16:K16)=0,COUNTA(C15)&gt;1),T16="欠勤"),IF(I16&gt;8,I16,8),0)</f>
        <v/>
      </c>
      <c r="BE16" s="287">
        <f>CEILING((DAY(A16)+7-WEEKDAY(A16))/7,1)</f>
        <v/>
      </c>
      <c r="BF16" s="65" t="n"/>
      <c r="BG16" s="65" t="n"/>
      <c r="BH16" s="65" t="n"/>
      <c r="BI16" s="65" t="n"/>
      <c r="BJ16" s="65" t="n"/>
      <c r="BK16" s="65" t="n"/>
      <c r="BL16" s="674">
        <f>IF($CC$5="≪シフト≫",0,IF(AND(BE16=1,B16="土"),$BI$8,IF(AND(BE16=2,B16="土"),$BI$9,IF(AND(BE16=3,B16="土"),$BI$10,IF(AND(BE16=4,B16="土"),$BI$11,IF(AND(BE16=5,B16="土"),$BI$12,IF(AND(BE16=6,B16="土"),$BI$13,0)))))))</f>
        <v/>
      </c>
      <c r="BM16" s="674">
        <f>IF($CC$5="≪通常≫",IF(N16&gt;8,N16-8,0),IF(N16&gt;I16,N16-I16,0))</f>
        <v/>
      </c>
      <c r="BN16" s="674">
        <f>SUMIF($BO$6:$BZ$6,1,$BO16:$BZ16)-(M16*24)</f>
        <v/>
      </c>
      <c r="BO16" s="675">
        <f>(IF(AND($J16&lt;$BP$7,$K16&gt;$BO$7),MIN($K16,$BP$7)-MAX($J16,$BO$7),0))*24</f>
        <v/>
      </c>
      <c r="BP16" s="679" t="n"/>
      <c r="BQ16" s="677">
        <f>(IF(AND($J16&lt;$BR$7,$K16&gt;$BQ$7),MIN($K16,$BR$7)-MAX($J16,$BQ$7),0))*24</f>
        <v/>
      </c>
      <c r="BR16" s="680" t="n"/>
      <c r="BS16" s="675">
        <f>(IF(AND($J16&lt;$BT$7,$K16&gt;$BS$7),MIN($K16,$BT$7)-MAX($J16,$BS$7),0))*24</f>
        <v/>
      </c>
      <c r="BT16" s="679" t="n"/>
      <c r="BU16" s="677">
        <f>(IF(AND($J16&lt;$BV$7,$K16&gt;$BU$7),MIN($K16,$BV$7)-MAX($J16,$BU$7),0))*24</f>
        <v/>
      </c>
      <c r="BV16" s="680" t="n"/>
      <c r="BW16" s="675">
        <f>(IF(AND($J16&lt;$BX$7,$K16&gt;$BW$7),MIN($K16,$BX$7)-MAX($J16,$BW$7),0))*24</f>
        <v/>
      </c>
      <c r="BX16" s="679" t="n"/>
      <c r="BY16" s="677">
        <f>(IF(AND($J16&lt;$BZ$7,$K16&gt;$BY$7),MIN($K16,$BZ$7)-MAX($J16,$BY$7),0))*24</f>
        <v/>
      </c>
      <c r="BZ16" s="680" t="n"/>
      <c r="CA16" s="322" t="inlineStr">
        <is>
          <t>休日出勤</t>
        </is>
      </c>
      <c r="CC16" s="287">
        <f>IF($A16="",0,WEEKDAY($A16))</f>
        <v/>
      </c>
      <c r="CD16" s="287">
        <f>IF($A16="",0,COUNTIF(祝日リスト!$B$2:$B$52,$A16))</f>
        <v/>
      </c>
      <c r="CE16" s="287">
        <f>IF($CC16=0,0,IF(OR($CC16=1,$CC16=7,$CD16=1),0,1))</f>
        <v/>
      </c>
    </row>
    <row r="17" ht="21" customHeight="1" s="643">
      <c r="A17" s="662">
        <f>A16+1</f>
        <v/>
      </c>
      <c r="B17" s="282">
        <f>CHOOSE(WEEKDAY(A17),"日","月","火","水","木","金","土")</f>
        <v/>
      </c>
      <c r="C17" s="663" t="n"/>
      <c r="D17" s="663" t="n"/>
      <c r="E17" s="663" t="n"/>
      <c r="F17" s="663" t="n"/>
      <c r="G17" s="663" t="n"/>
      <c r="H17" s="663" t="n"/>
      <c r="I17" s="664">
        <f>IF(C17="",0,((D17-C17)-(F17-E17)-(H17-G17))*24)</f>
        <v/>
      </c>
      <c r="J17" s="665" t="n"/>
      <c r="K17" s="666" t="n"/>
      <c r="L17" s="667" t="n"/>
      <c r="M17" s="667" t="n"/>
      <c r="N17" s="668">
        <f>IF(C17="",0,((K17-J17)-(L17+M17))*24)</f>
        <v/>
      </c>
      <c r="O17" s="669">
        <f>IF(BC17=0,"",BC17)</f>
        <v/>
      </c>
      <c r="P17" s="669">
        <f>IF(BD17=0,"",BD17)</f>
        <v/>
      </c>
      <c r="Q17" s="669">
        <f>IF(BL17=0,"",BL17)</f>
        <v/>
      </c>
      <c r="R17" s="669">
        <f>IF(BM17=0,"",BM17)</f>
        <v/>
      </c>
      <c r="S17" s="669">
        <f>IF(BN17=0,"",BN17)</f>
        <v/>
      </c>
      <c r="T17" s="670" t="n"/>
      <c r="U17" s="671" t="n"/>
      <c r="V17" s="672" t="n"/>
      <c r="W17" s="672" t="n"/>
      <c r="X17" s="672" t="n"/>
      <c r="Y17" s="672" t="n"/>
      <c r="Z17" s="672" t="n"/>
      <c r="AA17" s="673" t="n"/>
      <c r="AB17" s="72" t="n"/>
      <c r="BB17" s="280">
        <f>IF(U17="",J17&gt;0,FALSE)</f>
        <v/>
      </c>
      <c r="BC17" s="674">
        <f>IF(AND(C17&lt;&gt;"",J17="",T17&lt;&gt;"欠勤"),"★",IF(T17="欠勤","",(IF(C17&lt;J17,J17-C17,0)+IF(D17&gt;K17,D17-K17,0))*24))</f>
        <v/>
      </c>
      <c r="BD17" s="674">
        <f>IF(OR(AND(COUNTA(C17)&gt;1,COUNTA(J17:K17)=0,COUNTA(C16)&gt;1),T17="欠勤"),IF(I17&gt;8,I17,8),0)</f>
        <v/>
      </c>
      <c r="BE17" s="287">
        <f>CEILING((DAY(A17)+7-WEEKDAY(A17))/7,1)</f>
        <v/>
      </c>
      <c r="BF17" s="65" t="n"/>
      <c r="BG17" s="65" t="n"/>
      <c r="BH17" s="65" t="n"/>
      <c r="BI17" s="65" t="n"/>
      <c r="BJ17" s="65" t="n"/>
      <c r="BK17" s="65" t="n"/>
      <c r="BL17" s="674">
        <f>IF($CC$5="≪シフト≫",0,IF(AND(BE17=1,B17="土"),$BI$8,IF(AND(BE17=2,B17="土"),$BI$9,IF(AND(BE17=3,B17="土"),$BI$10,IF(AND(BE17=4,B17="土"),$BI$11,IF(AND(BE17=5,B17="土"),$BI$12,IF(AND(BE17=6,B17="土"),$BI$13,0)))))))</f>
        <v/>
      </c>
      <c r="BM17" s="674">
        <f>IF($CC$5="≪通常≫",IF(N17&gt;8,N17-8,0),IF(N17&gt;I17,N17-I17,0))</f>
        <v/>
      </c>
      <c r="BN17" s="674">
        <f>SUMIF($BO$6:$BZ$6,1,$BO17:$BZ17)-(M17*24)</f>
        <v/>
      </c>
      <c r="BO17" s="675">
        <f>(IF(AND($J17&lt;$BP$7,$K17&gt;$BO$7),MIN($K17,$BP$7)-MAX($J17,$BO$7),0))*24</f>
        <v/>
      </c>
      <c r="BP17" s="679" t="n"/>
      <c r="BQ17" s="677">
        <f>(IF(AND($J17&lt;$BR$7,$K17&gt;$BQ$7),MIN($K17,$BR$7)-MAX($J17,$BQ$7),0))*24</f>
        <v/>
      </c>
      <c r="BR17" s="680" t="n"/>
      <c r="BS17" s="675">
        <f>(IF(AND($J17&lt;$BT$7,$K17&gt;$BS$7),MIN($K17,$BT$7)-MAX($J17,$BS$7),0))*24</f>
        <v/>
      </c>
      <c r="BT17" s="679" t="n"/>
      <c r="BU17" s="677">
        <f>(IF(AND($J17&lt;$BV$7,$K17&gt;$BU$7),MIN($K17,$BV$7)-MAX($J17,$BU$7),0))*24</f>
        <v/>
      </c>
      <c r="BV17" s="680" t="n"/>
      <c r="BW17" s="675">
        <f>(IF(AND($J17&lt;$BX$7,$K17&gt;$BW$7),MIN($K17,$BX$7)-MAX($J17,$BW$7),0))*24</f>
        <v/>
      </c>
      <c r="BX17" s="679" t="n"/>
      <c r="BY17" s="677">
        <f>(IF(AND($J17&lt;$BZ$7,$K17&gt;$BY$7),MIN($K17,$BZ$7)-MAX($J17,$BY$7),0))*24</f>
        <v/>
      </c>
      <c r="BZ17" s="680" t="n"/>
      <c r="CA17" s="322" t="inlineStr">
        <is>
          <t>振替休暇</t>
        </is>
      </c>
      <c r="CC17" s="287">
        <f>IF($A17="",0,WEEKDAY($A17))</f>
        <v/>
      </c>
      <c r="CD17" s="287">
        <f>IF($A17="",0,COUNTIF(祝日リスト!$B$2:$B$52,$A17))</f>
        <v/>
      </c>
      <c r="CE17" s="287">
        <f>IF($CC17=0,0,IF(OR($CC17=1,$CC17=7,$CD17=1),0,1))</f>
        <v/>
      </c>
    </row>
    <row r="18" ht="21" customHeight="1" s="643">
      <c r="A18" s="662">
        <f>A17+1</f>
        <v/>
      </c>
      <c r="B18" s="282">
        <f>CHOOSE(WEEKDAY(A18),"日","月","火","水","木","金","土")</f>
        <v/>
      </c>
      <c r="C18" s="663" t="n"/>
      <c r="D18" s="663" t="n"/>
      <c r="E18" s="663" t="n"/>
      <c r="F18" s="663" t="n"/>
      <c r="G18" s="663" t="n"/>
      <c r="H18" s="663" t="n"/>
      <c r="I18" s="664">
        <f>IF(C18="",0,((D18-C18)-(F18-E18)-(H18-G18))*24)</f>
        <v/>
      </c>
      <c r="J18" s="665" t="n"/>
      <c r="K18" s="666" t="n"/>
      <c r="L18" s="667" t="n"/>
      <c r="M18" s="667" t="n"/>
      <c r="N18" s="668">
        <f>IF(C18="",0,((K18-J18)-(L18+M18))*24)</f>
        <v/>
      </c>
      <c r="O18" s="669">
        <f>IF(BC18=0,"",BC18)</f>
        <v/>
      </c>
      <c r="P18" s="669">
        <f>IF(BD18=0,"",BD18)</f>
        <v/>
      </c>
      <c r="Q18" s="669">
        <f>IF(BL18=0,"",BL18)</f>
        <v/>
      </c>
      <c r="R18" s="669">
        <f>IF(BM18=0,"",BM18)</f>
        <v/>
      </c>
      <c r="S18" s="669">
        <f>IF(BN18=0,"",BN18)</f>
        <v/>
      </c>
      <c r="T18" s="670" t="n"/>
      <c r="U18" s="671" t="n"/>
      <c r="V18" s="672" t="n"/>
      <c r="W18" s="672" t="n"/>
      <c r="X18" s="672" t="n"/>
      <c r="Y18" s="672" t="n"/>
      <c r="Z18" s="672" t="n"/>
      <c r="AA18" s="673" t="n"/>
      <c r="AB18" s="72" t="n"/>
      <c r="BB18" s="280">
        <f>IF(U18="",J18&gt;0,FALSE)</f>
        <v/>
      </c>
      <c r="BC18" s="674">
        <f>IF(AND(C18&lt;&gt;"",J18="",T18&lt;&gt;"欠勤"),"★",IF(T18="欠勤","",(IF(C18&lt;J18,J18-C18,0)+IF(D18&gt;K18,D18-K18,0))*24))</f>
        <v/>
      </c>
      <c r="BD18" s="674">
        <f>IF(OR(AND(COUNTA(C18)&gt;1,COUNTA(J18:K18)=0,COUNTA(C17)&gt;1),T18="欠勤"),IF(I18&gt;8,I18,8),0)</f>
        <v/>
      </c>
      <c r="BE18" s="287">
        <f>CEILING((DAY(A18)+7-WEEKDAY(A18))/7,1)</f>
        <v/>
      </c>
      <c r="BF18" s="65" t="n"/>
      <c r="BG18" s="65" t="n"/>
      <c r="BH18" s="65" t="n"/>
      <c r="BI18" s="65" t="n"/>
      <c r="BJ18" s="65" t="n"/>
      <c r="BK18" s="65" t="n"/>
      <c r="BL18" s="674">
        <f>IF($CC$5="≪シフト≫",0,IF(AND(BE18=1,B18="土"),$BI$8,IF(AND(BE18=2,B18="土"),$BI$9,IF(AND(BE18=3,B18="土"),$BI$10,IF(AND(BE18=4,B18="土"),$BI$11,IF(AND(BE18=5,B18="土"),$BI$12,IF(AND(BE18=6,B18="土"),$BI$13,0)))))))</f>
        <v/>
      </c>
      <c r="BM18" s="674">
        <f>IF($CC$5="≪通常≫",IF(N18&gt;8,N18-8,0),IF(N18&gt;I18,N18-I18,0))</f>
        <v/>
      </c>
      <c r="BN18" s="674">
        <f>SUMIF($BO$6:$BZ$6,1,$BO18:$BZ18)-(M18*24)</f>
        <v/>
      </c>
      <c r="BO18" s="675">
        <f>(IF(AND($J18&lt;$BP$7,$K18&gt;$BO$7),MIN($K18,$BP$7)-MAX($J18,$BO$7),0))*24</f>
        <v/>
      </c>
      <c r="BP18" s="679" t="n"/>
      <c r="BQ18" s="677">
        <f>(IF(AND($J18&lt;$BR$7,$K18&gt;$BQ$7),MIN($K18,$BR$7)-MAX($J18,$BQ$7),0))*24</f>
        <v/>
      </c>
      <c r="BR18" s="680" t="n"/>
      <c r="BS18" s="675">
        <f>(IF(AND($J18&lt;$BT$7,$K18&gt;$BS$7),MIN($K18,$BT$7)-MAX($J18,$BS$7),0))*24</f>
        <v/>
      </c>
      <c r="BT18" s="679" t="n"/>
      <c r="BU18" s="677">
        <f>(IF(AND($J18&lt;$BV$7,$K18&gt;$BU$7),MIN($K18,$BV$7)-MAX($J18,$BU$7),0))*24</f>
        <v/>
      </c>
      <c r="BV18" s="680" t="n"/>
      <c r="BW18" s="675">
        <f>(IF(AND($J18&lt;$BX$7,$K18&gt;$BW$7),MIN($K18,$BX$7)-MAX($J18,$BW$7),0))*24</f>
        <v/>
      </c>
      <c r="BX18" s="679" t="n"/>
      <c r="BY18" s="677">
        <f>(IF(AND($J18&lt;$BZ$7,$K18&gt;$BY$7),MIN($K18,$BZ$7)-MAX($J18,$BY$7),0))*24</f>
        <v/>
      </c>
      <c r="BZ18" s="680" t="n"/>
      <c r="CA18" s="322" t="inlineStr">
        <is>
          <t>振替休暇（半日）</t>
        </is>
      </c>
      <c r="CC18" s="287">
        <f>IF($A18="",0,WEEKDAY($A18))</f>
        <v/>
      </c>
      <c r="CD18" s="287">
        <f>IF($A18="",0,COUNTIF(祝日リスト!$B$2:$B$52,$A18))</f>
        <v/>
      </c>
      <c r="CE18" s="287">
        <f>IF($CC18=0,0,IF(OR($CC18=1,$CC18=7,$CD18=1),0,1))</f>
        <v/>
      </c>
    </row>
    <row r="19" ht="21" customHeight="1" s="643">
      <c r="A19" s="662">
        <f>A18+1</f>
        <v/>
      </c>
      <c r="B19" s="282">
        <f>CHOOSE(WEEKDAY(A19),"日","月","火","水","木","金","土")</f>
        <v/>
      </c>
      <c r="C19" s="663" t="n"/>
      <c r="D19" s="663" t="n"/>
      <c r="E19" s="663" t="n"/>
      <c r="F19" s="663" t="n"/>
      <c r="G19" s="663" t="n"/>
      <c r="H19" s="663" t="n"/>
      <c r="I19" s="664">
        <f>IF(C19="",0,((D19-C19)-(F19-E19)-(H19-G19))*24)</f>
        <v/>
      </c>
      <c r="J19" s="665" t="n"/>
      <c r="K19" s="666" t="n"/>
      <c r="L19" s="667" t="n"/>
      <c r="M19" s="667" t="n"/>
      <c r="N19" s="668">
        <f>IF(C19="",0,((K19-J19)-(L19+M19))*24)</f>
        <v/>
      </c>
      <c r="O19" s="669">
        <f>IF(BC19=0,"",BC19)</f>
        <v/>
      </c>
      <c r="P19" s="669">
        <f>IF(BD19=0,"",BD19)</f>
        <v/>
      </c>
      <c r="Q19" s="669">
        <f>IF(BL19=0,"",BL19)</f>
        <v/>
      </c>
      <c r="R19" s="669">
        <f>IF(BM19=0,"",BM19)</f>
        <v/>
      </c>
      <c r="S19" s="669">
        <f>IF(BN19=0,"",BN19)</f>
        <v/>
      </c>
      <c r="T19" s="670" t="n"/>
      <c r="U19" s="671" t="n"/>
      <c r="V19" s="672" t="n"/>
      <c r="W19" s="672" t="n"/>
      <c r="X19" s="672" t="n"/>
      <c r="Y19" s="672" t="n"/>
      <c r="Z19" s="672" t="n"/>
      <c r="AA19" s="673" t="n"/>
      <c r="AB19" s="72" t="n"/>
      <c r="BB19" s="280">
        <f>IF(U19="",J19&gt;0,FALSE)</f>
        <v/>
      </c>
      <c r="BC19" s="674">
        <f>IF(AND(C19&lt;&gt;"",J19="",T19&lt;&gt;"欠勤"),"★",IF(T19="欠勤","",(IF(C19&lt;J19,J19-C19,0)+IF(D19&gt;K19,D19-K19,0))*24))</f>
        <v/>
      </c>
      <c r="BD19" s="674">
        <f>IF(OR(AND(COUNTA(C19)&gt;1,COUNTA(J19:K19)=0,COUNTA(C18)&gt;1),T19="欠勤"),IF(I19&gt;8,I19,8),0)</f>
        <v/>
      </c>
      <c r="BE19" s="287">
        <f>CEILING((DAY(A19)+7-WEEKDAY(A19))/7,1)</f>
        <v/>
      </c>
      <c r="BF19" s="65" t="n"/>
      <c r="BG19" s="65" t="n"/>
      <c r="BH19" s="65" t="n"/>
      <c r="BI19" s="65" t="n"/>
      <c r="BJ19" s="65" t="n"/>
      <c r="BK19" s="65" t="n"/>
      <c r="BL19" s="674">
        <f>IF($CC$5="≪シフト≫",0,IF(AND(BE19=1,B19="土"),$BI$8,IF(AND(BE19=2,B19="土"),$BI$9,IF(AND(BE19=3,B19="土"),$BI$10,IF(AND(BE19=4,B19="土"),$BI$11,IF(AND(BE19=5,B19="土"),$BI$12,IF(AND(BE19=6,B19="土"),$BI$13,0)))))))</f>
        <v/>
      </c>
      <c r="BM19" s="674">
        <f>IF($CC$5="≪通常≫",IF(N19&gt;8,N19-8,0),IF(N19&gt;I19,N19-I19,0))</f>
        <v/>
      </c>
      <c r="BN19" s="674">
        <f>SUMIF($BO$6:$BZ$6,1,$BO19:$BZ19)-(M19*24)</f>
        <v/>
      </c>
      <c r="BO19" s="675">
        <f>(IF(AND($J19&lt;$BP$7,$K19&gt;$BO$7),MIN($K19,$BP$7)-MAX($J19,$BO$7),0))*24</f>
        <v/>
      </c>
      <c r="BP19" s="679" t="n"/>
      <c r="BQ19" s="677">
        <f>(IF(AND($J19&lt;$BR$7,$K19&gt;$BQ$7),MIN($K19,$BR$7)-MAX($J19,$BQ$7),0))*24</f>
        <v/>
      </c>
      <c r="BR19" s="680" t="n"/>
      <c r="BS19" s="675">
        <f>(IF(AND($J19&lt;$BT$7,$K19&gt;$BS$7),MIN($K19,$BT$7)-MAX($J19,$BS$7),0))*24</f>
        <v/>
      </c>
      <c r="BT19" s="679" t="n"/>
      <c r="BU19" s="677">
        <f>(IF(AND($J19&lt;$BV$7,$K19&gt;$BU$7),MIN($K19,$BV$7)-MAX($J19,$BU$7),0))*24</f>
        <v/>
      </c>
      <c r="BV19" s="680" t="n"/>
      <c r="BW19" s="675">
        <f>(IF(AND($J19&lt;$BX$7,$K19&gt;$BW$7),MIN($K19,$BX$7)-MAX($J19,$BW$7),0))*24</f>
        <v/>
      </c>
      <c r="BX19" s="679" t="n"/>
      <c r="BY19" s="677">
        <f>(IF(AND($J19&lt;$BZ$7,$K19&gt;$BY$7),MIN($K19,$BZ$7)-MAX($J19,$BY$7),0))*24</f>
        <v/>
      </c>
      <c r="BZ19" s="680" t="n"/>
      <c r="CA19" s="322" t="inlineStr">
        <is>
          <t>慶弔休暇</t>
        </is>
      </c>
      <c r="CC19" s="287">
        <f>IF($A19="",0,WEEKDAY($A19))</f>
        <v/>
      </c>
      <c r="CD19" s="287">
        <f>IF($A19="",0,COUNTIF(祝日リスト!$B$2:$B$52,$A19))</f>
        <v/>
      </c>
      <c r="CE19" s="287">
        <f>IF($CC19=0,0,IF(OR($CC19=1,$CC19=7,$CD19=1),0,1))</f>
        <v/>
      </c>
    </row>
    <row r="20" ht="21" customHeight="1" s="643">
      <c r="A20" s="662">
        <f>A19+1</f>
        <v/>
      </c>
      <c r="B20" s="282">
        <f>CHOOSE(WEEKDAY(A20),"日","月","火","水","木","金","土")</f>
        <v/>
      </c>
      <c r="C20" s="663" t="n"/>
      <c r="D20" s="663" t="n"/>
      <c r="E20" s="663" t="n"/>
      <c r="F20" s="663" t="n"/>
      <c r="G20" s="663" t="n"/>
      <c r="H20" s="663" t="n"/>
      <c r="I20" s="664">
        <f>IF(C20="",0,((D20-C20)-(F20-E20)-(H20-G20))*24)</f>
        <v/>
      </c>
      <c r="J20" s="663" t="n"/>
      <c r="K20" s="663" t="n"/>
      <c r="L20" s="667" t="n"/>
      <c r="M20" s="667" t="n"/>
      <c r="N20" s="668">
        <f>IF(C20="",0,((K20-J20)-(L20+M20))*24)</f>
        <v/>
      </c>
      <c r="O20" s="669">
        <f>IF(BC20=0,"",BC20)</f>
        <v/>
      </c>
      <c r="P20" s="669">
        <f>IF(BD20=0,"",BD20)</f>
        <v/>
      </c>
      <c r="Q20" s="669">
        <f>IF(BL20=0,"",BL20)</f>
        <v/>
      </c>
      <c r="R20" s="669">
        <f>IF(BM20=0,"",BM20)</f>
        <v/>
      </c>
      <c r="S20" s="669">
        <f>IF(BN20=0,"",BN20)</f>
        <v/>
      </c>
      <c r="T20" s="670" t="n"/>
      <c r="U20" s="671" t="n"/>
      <c r="V20" s="672" t="n"/>
      <c r="W20" s="672" t="n"/>
      <c r="X20" s="672" t="n"/>
      <c r="Y20" s="672" t="n"/>
      <c r="Z20" s="672" t="n"/>
      <c r="AA20" s="673" t="n"/>
      <c r="BB20" s="280">
        <f>IF(U20="",J20&gt;0,FALSE)</f>
        <v/>
      </c>
      <c r="BC20" s="674">
        <f>IF(AND(C20&lt;&gt;"",J20="",T20&lt;&gt;"欠勤"),"★",IF(T20="欠勤","",(IF(C20&lt;J20,J20-C20,0)+IF(D20&gt;K20,D20-K20,0))*24))</f>
        <v/>
      </c>
      <c r="BD20" s="674">
        <f>IF(OR(AND(COUNTA(C20)&gt;1,COUNTA(J20:K20)=0,COUNTA(C19)&gt;1),T20="欠勤"),IF(I20&gt;8,I20,8),0)</f>
        <v/>
      </c>
      <c r="BE20" s="287">
        <f>CEILING((DAY(A20)+7-WEEKDAY(A20))/7,1)</f>
        <v/>
      </c>
      <c r="BF20" s="65" t="n"/>
      <c r="BG20" s="65" t="n"/>
      <c r="BH20" s="65" t="n"/>
      <c r="BI20" s="65" t="n"/>
      <c r="BJ20" s="65" t="n"/>
      <c r="BK20" s="65" t="n"/>
      <c r="BL20" s="674">
        <f>IF($CC$5="≪シフト≫",0,IF(AND(BE20=1,B20="土"),$BI$8,IF(AND(BE20=2,B20="土"),$BI$9,IF(AND(BE20=3,B20="土"),$BI$10,IF(AND(BE20=4,B20="土"),$BI$11,IF(AND(BE20=5,B20="土"),$BI$12,IF(AND(BE20=6,B20="土"),$BI$13,0)))))))</f>
        <v/>
      </c>
      <c r="BM20" s="674">
        <f>IF($CC$5="≪通常≫",IF(N20&gt;8,N20-8,0),IF(N20&gt;I20,N20-I20,0))</f>
        <v/>
      </c>
      <c r="BN20" s="674">
        <f>SUMIF($BO$6:$BZ$6,1,$BO20:$BZ20)-(M20*24)</f>
        <v/>
      </c>
      <c r="BO20" s="675">
        <f>(IF(AND($J20&lt;$BP$7,$K20&gt;$BO$7),MIN($K20,$BP$7)-MAX($J20,$BO$7),0))*24</f>
        <v/>
      </c>
      <c r="BP20" s="679" t="n"/>
      <c r="BQ20" s="677">
        <f>(IF(AND($J20&lt;$BR$7,$K20&gt;$BQ$7),MIN($K20,$BR$7)-MAX($J20,$BQ$7),0))*24</f>
        <v/>
      </c>
      <c r="BR20" s="680" t="n"/>
      <c r="BS20" s="675">
        <f>(IF(AND($J20&lt;$BT$7,$K20&gt;$BS$7),MIN($K20,$BT$7)-MAX($J20,$BS$7),0))*24</f>
        <v/>
      </c>
      <c r="BT20" s="679" t="n"/>
      <c r="BU20" s="677">
        <f>(IF(AND($J20&lt;$BV$7,$K20&gt;$BU$7),MIN($K20,$BV$7)-MAX($J20,$BU$7),0))*24</f>
        <v/>
      </c>
      <c r="BV20" s="680" t="n"/>
      <c r="BW20" s="675">
        <f>(IF(AND($J20&lt;$BX$7,$K20&gt;$BW$7),MIN($K20,$BX$7)-MAX($J20,$BW$7),0))*24</f>
        <v/>
      </c>
      <c r="BX20" s="679" t="n"/>
      <c r="BY20" s="677">
        <f>(IF(AND($J20&lt;$BZ$7,$K20&gt;$BY$7),MIN($K20,$BZ$7)-MAX($J20,$BY$7),0))*24</f>
        <v/>
      </c>
      <c r="BZ20" s="680" t="n"/>
      <c r="CC20" s="287">
        <f>IF($A20="",0,WEEKDAY($A20))</f>
        <v/>
      </c>
      <c r="CD20" s="287">
        <f>IF($A20="",0,COUNTIF(祝日リスト!$B$2:$B$52,$A20))</f>
        <v/>
      </c>
      <c r="CE20" s="287">
        <f>IF($CC20=0,0,IF(OR($CC20=1,$CC20=7,$CD20=1),0,1))</f>
        <v/>
      </c>
    </row>
    <row r="21" ht="21" customHeight="1" s="643">
      <c r="A21" s="662">
        <f>A20+1</f>
        <v/>
      </c>
      <c r="B21" s="282">
        <f>CHOOSE(WEEKDAY(A21),"日","月","火","水","木","金","土")</f>
        <v/>
      </c>
      <c r="C21" s="663" t="n"/>
      <c r="D21" s="663" t="n"/>
      <c r="E21" s="663" t="n"/>
      <c r="F21" s="663" t="n"/>
      <c r="G21" s="663" t="n"/>
      <c r="H21" s="663" t="n"/>
      <c r="I21" s="664">
        <f>IF(C21="",0,((D21-C21)-(F21-E21)-(H21-G21))*24)</f>
        <v/>
      </c>
      <c r="J21" s="665" t="n"/>
      <c r="K21" s="666" t="n"/>
      <c r="L21" s="667" t="n"/>
      <c r="M21" s="667" t="n"/>
      <c r="N21" s="668">
        <f>IF(C21="",0,((K21-J21)-(L21+M21))*24)</f>
        <v/>
      </c>
      <c r="O21" s="669">
        <f>IF(BC21=0,"",BC21)</f>
        <v/>
      </c>
      <c r="P21" s="669">
        <f>IF(BD21=0,"",BD21)</f>
        <v/>
      </c>
      <c r="Q21" s="669">
        <f>IF(BL21=0,"",BL21)</f>
        <v/>
      </c>
      <c r="R21" s="669">
        <f>IF(BM21=0,"",BM21)</f>
        <v/>
      </c>
      <c r="S21" s="669">
        <f>IF(BN21=0,"",BN21)</f>
        <v/>
      </c>
      <c r="T21" s="670" t="n"/>
      <c r="U21" s="671" t="n"/>
      <c r="V21" s="672" t="n"/>
      <c r="W21" s="672" t="n"/>
      <c r="X21" s="672" t="n"/>
      <c r="Y21" s="672" t="n"/>
      <c r="Z21" s="672" t="n"/>
      <c r="AA21" s="673" t="n"/>
      <c r="AB21" s="72" t="inlineStr">
        <is>
          <t xml:space="preserve">　日付をまたいで勤務する場合、24時を境に日付を分けて</t>
        </is>
      </c>
      <c r="BB21" s="280">
        <f>IF(U21="",J21&gt;0,FALSE)</f>
        <v/>
      </c>
      <c r="BC21" s="674">
        <f>IF(AND(C21&lt;&gt;"",J21="",T21&lt;&gt;"欠勤"),"★",IF(T21="欠勤","",(IF(C21&lt;J21,J21-C21,0)+IF(D21&gt;K21,D21-K21,0))*24))</f>
        <v/>
      </c>
      <c r="BD21" s="674">
        <f>IF(OR(AND(COUNTA(C21)&gt;1,COUNTA(J21:K21)=0,COUNTA(C20)&gt;1),T21="欠勤"),IF(I21&gt;8,I21,8),0)</f>
        <v/>
      </c>
      <c r="BE21" s="287">
        <f>CEILING((DAY(A21)+7-WEEKDAY(A21))/7,1)</f>
        <v/>
      </c>
      <c r="BF21" s="65" t="n"/>
      <c r="BG21" s="65" t="n"/>
      <c r="BH21" s="65" t="n"/>
      <c r="BI21" s="65" t="n"/>
      <c r="BJ21" s="65" t="n"/>
      <c r="BK21" s="65" t="n"/>
      <c r="BL21" s="674">
        <f>IF($CC$5="≪シフト≫",0,IF(AND(BE21=1,B21="土"),$BI$8,IF(AND(BE21=2,B21="土"),$BI$9,IF(AND(BE21=3,B21="土"),$BI$10,IF(AND(BE21=4,B21="土"),$BI$11,IF(AND(BE21=5,B21="土"),$BI$12,IF(AND(BE21=6,B21="土"),$BI$13,0)))))))</f>
        <v/>
      </c>
      <c r="BM21" s="674">
        <f>IF($CC$5="≪通常≫",IF(N21&gt;8,N21-8,0),IF(N21&gt;I21,N21-I21,0))</f>
        <v/>
      </c>
      <c r="BN21" s="674">
        <f>SUMIF($BO$6:$BZ$6,1,$BO21:$BZ21)-(M21*24)</f>
        <v/>
      </c>
      <c r="BO21" s="675">
        <f>(IF(AND($J21&lt;$BP$7,$K21&gt;$BO$7),MIN($K21,$BP$7)-MAX($J21,$BO$7),0))*24</f>
        <v/>
      </c>
      <c r="BP21" s="679" t="n"/>
      <c r="BQ21" s="677">
        <f>(IF(AND($J21&lt;$BR$7,$K21&gt;$BQ$7),MIN($K21,$BR$7)-MAX($J21,$BQ$7),0))*24</f>
        <v/>
      </c>
      <c r="BR21" s="680" t="n"/>
      <c r="BS21" s="675">
        <f>(IF(AND($J21&lt;$BT$7,$K21&gt;$BS$7),MIN($K21,$BT$7)-MAX($J21,$BS$7),0))*24</f>
        <v/>
      </c>
      <c r="BT21" s="679" t="n"/>
      <c r="BU21" s="677">
        <f>(IF(AND($J21&lt;$BV$7,$K21&gt;$BU$7),MIN($K21,$BV$7)-MAX($J21,$BU$7),0))*24</f>
        <v/>
      </c>
      <c r="BV21" s="680" t="n"/>
      <c r="BW21" s="675">
        <f>(IF(AND($J21&lt;$BX$7,$K21&gt;$BW$7),MIN($K21,$BX$7)-MAX($J21,$BW$7),0))*24</f>
        <v/>
      </c>
      <c r="BX21" s="679" t="n"/>
      <c r="BY21" s="677">
        <f>(IF(AND($J21&lt;$BZ$7,$K21&gt;$BY$7),MIN($K21,$BZ$7)-MAX($J21,$BY$7),0))*24</f>
        <v/>
      </c>
      <c r="BZ21" s="680" t="n"/>
      <c r="CC21" s="287">
        <f>IF($A21="",0,WEEKDAY($A21))</f>
        <v/>
      </c>
      <c r="CD21" s="287">
        <f>IF($A21="",0,COUNTIF(祝日リスト!$B$2:$B$52,$A21))</f>
        <v/>
      </c>
      <c r="CE21" s="287">
        <f>IF($CC21=0,0,IF(OR($CC21=1,$CC21=7,$CD21=1),0,1))</f>
        <v/>
      </c>
    </row>
    <row r="22" ht="21" customHeight="1" s="643">
      <c r="A22" s="662">
        <f>A21+1</f>
        <v/>
      </c>
      <c r="B22" s="282">
        <f>CHOOSE(WEEKDAY(A22),"日","月","火","水","木","金","土")</f>
        <v/>
      </c>
      <c r="C22" s="663" t="n"/>
      <c r="D22" s="663" t="n"/>
      <c r="E22" s="663" t="n"/>
      <c r="F22" s="663" t="n"/>
      <c r="G22" s="663" t="n"/>
      <c r="H22" s="663" t="n"/>
      <c r="I22" s="664">
        <f>IF(C22="",0,((D22-C22)-(F22-E22)-(H22-G22))*24)</f>
        <v/>
      </c>
      <c r="J22" s="665" t="n"/>
      <c r="K22" s="666" t="n"/>
      <c r="L22" s="667" t="n"/>
      <c r="M22" s="667" t="n"/>
      <c r="N22" s="668">
        <f>IF(C22="",0,((K22-J22)-(L22+M22))*24)</f>
        <v/>
      </c>
      <c r="O22" s="669">
        <f>IF(BC22=0,"",BC22)</f>
        <v/>
      </c>
      <c r="P22" s="669">
        <f>IF(BD22=0,"",BD22)</f>
        <v/>
      </c>
      <c r="Q22" s="669">
        <f>IF(BL22=0,"",BL22)</f>
        <v/>
      </c>
      <c r="R22" s="669">
        <f>IF(BM22=0,"",BM22)</f>
        <v/>
      </c>
      <c r="S22" s="669">
        <f>IF(BN22=0,"",BN22)</f>
        <v/>
      </c>
      <c r="T22" s="670" t="n"/>
      <c r="U22" s="671" t="n"/>
      <c r="V22" s="672" t="n"/>
      <c r="W22" s="672" t="n"/>
      <c r="X22" s="672" t="n"/>
      <c r="Y22" s="672" t="n"/>
      <c r="Z22" s="672" t="n"/>
      <c r="AA22" s="673" t="n"/>
      <c r="AB22" s="72" t="inlineStr">
        <is>
          <t xml:space="preserve">　勤務時間を記載せずに、一勤務ごとに勤務時間を記載する</t>
        </is>
      </c>
      <c r="BB22" s="280">
        <f>IF(U22="",J22&gt;0,FALSE)</f>
        <v/>
      </c>
      <c r="BC22" s="674">
        <f>IF(AND(C22&lt;&gt;"",J22="",T22&lt;&gt;"欠勤"),"★",IF(T22="欠勤","",(IF(C22&lt;J22,J22-C22,0)+IF(D22&gt;K22,D22-K22,0))*24))</f>
        <v/>
      </c>
      <c r="BD22" s="674">
        <f>IF(OR(AND(COUNTA(C22)&gt;1,COUNTA(J22:K22)=0,COUNTA(C21)&gt;1),T22="欠勤"),IF(I22&gt;8,I22,8),0)</f>
        <v/>
      </c>
      <c r="BE22" s="287">
        <f>CEILING((DAY(A22)+7-WEEKDAY(A22))/7,1)</f>
        <v/>
      </c>
      <c r="BF22" s="65" t="n"/>
      <c r="BG22" s="65" t="n"/>
      <c r="BH22" s="65" t="n"/>
      <c r="BI22" s="65" t="n"/>
      <c r="BJ22" s="65" t="n"/>
      <c r="BK22" s="65" t="n"/>
      <c r="BL22" s="674">
        <f>IF($CC$5="≪シフト≫",0,IF(AND(BE22=1,B22="土"),$BI$8,IF(AND(BE22=2,B22="土"),$BI$9,IF(AND(BE22=3,B22="土"),$BI$10,IF(AND(BE22=4,B22="土"),$BI$11,IF(AND(BE22=5,B22="土"),$BI$12,IF(AND(BE22=6,B22="土"),$BI$13,0)))))))</f>
        <v/>
      </c>
      <c r="BM22" s="674">
        <f>IF($CC$5="≪通常≫",IF(N22&gt;8,N22-8,0),IF(N22&gt;I22,N22-I22,0))</f>
        <v/>
      </c>
      <c r="BN22" s="674">
        <f>SUMIF($BO$6:$BZ$6,1,$BO22:$BZ22)-(M22*24)</f>
        <v/>
      </c>
      <c r="BO22" s="675">
        <f>(IF(AND($J22&lt;$BP$7,$K22&gt;$BO$7),MIN($K22,$BP$7)-MAX($J22,$BO$7),0))*24</f>
        <v/>
      </c>
      <c r="BP22" s="679" t="n"/>
      <c r="BQ22" s="677">
        <f>(IF(AND($J22&lt;$BR$7,$K22&gt;$BQ$7),MIN($K22,$BR$7)-MAX($J22,$BQ$7),0))*24</f>
        <v/>
      </c>
      <c r="BR22" s="680" t="n"/>
      <c r="BS22" s="675">
        <f>(IF(AND($J22&lt;$BT$7,$K22&gt;$BS$7),MIN($K22,$BT$7)-MAX($J22,$BS$7),0))*24</f>
        <v/>
      </c>
      <c r="BT22" s="679" t="n"/>
      <c r="BU22" s="677">
        <f>(IF(AND($J22&lt;$BV$7,$K22&gt;$BU$7),MIN($K22,$BV$7)-MAX($J22,$BU$7),0))*24</f>
        <v/>
      </c>
      <c r="BV22" s="680" t="n"/>
      <c r="BW22" s="675">
        <f>(IF(AND($J22&lt;$BX$7,$K22&gt;$BW$7),MIN($K22,$BX$7)-MAX($J22,$BW$7),0))*24</f>
        <v/>
      </c>
      <c r="BX22" s="679" t="n"/>
      <c r="BY22" s="677">
        <f>(IF(AND($J22&lt;$BZ$7,$K22&gt;$BY$7),MIN($K22,$BZ$7)-MAX($J22,$BY$7),0))*24</f>
        <v/>
      </c>
      <c r="BZ22" s="680" t="n"/>
      <c r="CC22" s="287">
        <f>IF($A22="",0,WEEKDAY($A22))</f>
        <v/>
      </c>
      <c r="CD22" s="287">
        <f>IF($A22="",0,COUNTIF(祝日リスト!$B$2:$B$52,$A22))</f>
        <v/>
      </c>
      <c r="CE22" s="287">
        <f>IF($CC22=0,0,IF(OR($CC22=1,$CC22=7,$CD22=1),0,1))</f>
        <v/>
      </c>
    </row>
    <row r="23" ht="21" customHeight="1" s="643">
      <c r="A23" s="662">
        <f>A22+1</f>
        <v/>
      </c>
      <c r="B23" s="282">
        <f>CHOOSE(WEEKDAY(A23),"日","月","火","水","木","金","土")</f>
        <v/>
      </c>
      <c r="C23" s="663" t="n"/>
      <c r="D23" s="663" t="n"/>
      <c r="E23" s="663" t="n"/>
      <c r="F23" s="663" t="n"/>
      <c r="G23" s="663" t="n"/>
      <c r="H23" s="663" t="n"/>
      <c r="I23" s="664">
        <f>IF(C23="",0,((D23-C23)-(F23-E23)-(H23-G23))*24)</f>
        <v/>
      </c>
      <c r="J23" s="665" t="n"/>
      <c r="K23" s="666" t="n"/>
      <c r="L23" s="667" t="n"/>
      <c r="M23" s="667" t="n"/>
      <c r="N23" s="668">
        <f>IF(C23="",0,((K23-J23)-(L23+M23))*24)</f>
        <v/>
      </c>
      <c r="O23" s="669">
        <f>IF(BC23=0,"",BC23)</f>
        <v/>
      </c>
      <c r="P23" s="669">
        <f>IF(BD23=0,"",BD23)</f>
        <v/>
      </c>
      <c r="Q23" s="669">
        <f>IF(BL23=0,"",BL23)</f>
        <v/>
      </c>
      <c r="R23" s="669">
        <f>IF(BM23=0,"",BM23)</f>
        <v/>
      </c>
      <c r="S23" s="669">
        <f>IF(BN23=0,"",BN23)</f>
        <v/>
      </c>
      <c r="T23" s="670" t="n"/>
      <c r="U23" s="671" t="n"/>
      <c r="V23" s="672" t="n"/>
      <c r="W23" s="672" t="n"/>
      <c r="X23" s="672" t="n"/>
      <c r="Y23" s="672" t="n"/>
      <c r="Z23" s="672" t="n"/>
      <c r="AA23" s="673" t="n"/>
      <c r="AB23" s="72" t="inlineStr">
        <is>
          <t xml:space="preserve">　例）20:00～翌日8:00まで勤務の場合</t>
        </is>
      </c>
      <c r="BB23" s="280">
        <f>IF(U23="",J23&gt;0,FALSE)</f>
        <v/>
      </c>
      <c r="BC23" s="674">
        <f>IF(AND(C23&lt;&gt;"",J23="",T23&lt;&gt;"欠勤"),"★",IF(T23="欠勤","",(IF(C23&lt;J23,J23-C23,0)+IF(D23&gt;K23,D23-K23,0))*24))</f>
        <v/>
      </c>
      <c r="BD23" s="674">
        <f>IF(OR(AND(COUNTA(C23)&gt;1,COUNTA(J23:K23)=0,COUNTA(C22)&gt;1),T23="欠勤"),IF(I23&gt;8,I23,8),0)</f>
        <v/>
      </c>
      <c r="BE23" s="287">
        <f>CEILING((DAY(A23)+7-WEEKDAY(A23))/7,1)</f>
        <v/>
      </c>
      <c r="BF23" s="65" t="n"/>
      <c r="BG23" s="65" t="n"/>
      <c r="BH23" s="65" t="n"/>
      <c r="BI23" s="65" t="n"/>
      <c r="BJ23" s="65" t="n"/>
      <c r="BK23" s="65" t="n"/>
      <c r="BL23" s="674">
        <f>IF($CC$5="≪シフト≫",0,IF(AND(BE23=1,B23="土"),$BI$8,IF(AND(BE23=2,B23="土"),$BI$9,IF(AND(BE23=3,B23="土"),$BI$10,IF(AND(BE23=4,B23="土"),$BI$11,IF(AND(BE23=5,B23="土"),$BI$12,IF(AND(BE23=6,B23="土"),$BI$13,0)))))))</f>
        <v/>
      </c>
      <c r="BM23" s="674">
        <f>IF($CC$5="≪通常≫",IF(N23&gt;8,N23-8,0),IF(N23&gt;I23,N23-I23,0))</f>
        <v/>
      </c>
      <c r="BN23" s="674">
        <f>SUMIF($BO$6:$BZ$6,1,$BO23:$BZ23)-(M23*24)</f>
        <v/>
      </c>
      <c r="BO23" s="675">
        <f>(IF(AND($J23&lt;$BP$7,$K23&gt;$BO$7),MIN($K23,$BP$7)-MAX($J23,$BO$7),0))*24</f>
        <v/>
      </c>
      <c r="BP23" s="679" t="n"/>
      <c r="BQ23" s="677">
        <f>(IF(AND($J23&lt;$BR$7,$K23&gt;$BQ$7),MIN($K23,$BR$7)-MAX($J23,$BQ$7),0))*24</f>
        <v/>
      </c>
      <c r="BR23" s="680" t="n"/>
      <c r="BS23" s="675">
        <f>(IF(AND($J23&lt;$BT$7,$K23&gt;$BS$7),MIN($K23,$BT$7)-MAX($J23,$BS$7),0))*24</f>
        <v/>
      </c>
      <c r="BT23" s="679" t="n"/>
      <c r="BU23" s="677">
        <f>(IF(AND($J23&lt;$BV$7,$K23&gt;$BU$7),MIN($K23,$BV$7)-MAX($J23,$BU$7),0))*24</f>
        <v/>
      </c>
      <c r="BV23" s="680" t="n"/>
      <c r="BW23" s="675">
        <f>(IF(AND($J23&lt;$BX$7,$K23&gt;$BW$7),MIN($K23,$BX$7)-MAX($J23,$BW$7),0))*24</f>
        <v/>
      </c>
      <c r="BX23" s="679" t="n"/>
      <c r="BY23" s="677">
        <f>(IF(AND($J23&lt;$BZ$7,$K23&gt;$BY$7),MIN($K23,$BZ$7)-MAX($J23,$BY$7),0))*24</f>
        <v/>
      </c>
      <c r="BZ23" s="680" t="n"/>
      <c r="CC23" s="287">
        <f>IF($A23="",0,WEEKDAY($A23))</f>
        <v/>
      </c>
      <c r="CD23" s="287">
        <f>IF($A23="",0,COUNTIF(祝日リスト!$B$2:$B$52,$A23))</f>
        <v/>
      </c>
      <c r="CE23" s="287">
        <f>IF($CC23=0,0,IF(OR($CC23=1,$CC23=7,$CD23=1),0,1))</f>
        <v/>
      </c>
    </row>
    <row r="24" ht="21" customHeight="1" s="643">
      <c r="A24" s="662">
        <f>A23+1</f>
        <v/>
      </c>
      <c r="B24" s="282">
        <f>CHOOSE(WEEKDAY(A24),"日","月","火","水","木","金","土")</f>
        <v/>
      </c>
      <c r="C24" s="663" t="n"/>
      <c r="D24" s="663" t="n"/>
      <c r="E24" s="663" t="n"/>
      <c r="F24" s="663" t="n"/>
      <c r="G24" s="663" t="n"/>
      <c r="H24" s="663" t="n"/>
      <c r="I24" s="664">
        <f>IF(C24="",0,((D24-C24)-(F24-E24)-(H24-G24))*24)</f>
        <v/>
      </c>
      <c r="J24" s="665" t="n"/>
      <c r="K24" s="666" t="n"/>
      <c r="L24" s="667" t="n"/>
      <c r="M24" s="667" t="n"/>
      <c r="N24" s="668">
        <f>IF(C24="",0,((K24-J24)-(L24+M24))*24)</f>
        <v/>
      </c>
      <c r="O24" s="669">
        <f>IF(BC24=0,"",BC24)</f>
        <v/>
      </c>
      <c r="P24" s="669">
        <f>IF(BD24=0,"",BD24)</f>
        <v/>
      </c>
      <c r="Q24" s="669">
        <f>IF(BL24=0,"",BL24)</f>
        <v/>
      </c>
      <c r="R24" s="669">
        <f>IF(BM24=0,"",BM24)</f>
        <v/>
      </c>
      <c r="S24" s="669">
        <f>IF(BN24=0,"",BN24)</f>
        <v/>
      </c>
      <c r="T24" s="670" t="n"/>
      <c r="U24" s="671" t="n"/>
      <c r="V24" s="672" t="n"/>
      <c r="W24" s="672" t="n"/>
      <c r="X24" s="672" t="n"/>
      <c r="Y24" s="672" t="n"/>
      <c r="Z24" s="672" t="n"/>
      <c r="AA24" s="673" t="n"/>
      <c r="AB24" s="72" t="inlineStr">
        <is>
          <t xml:space="preserve">　　20:00～24:00</t>
        </is>
      </c>
      <c r="AD24" s="72" t="inlineStr">
        <is>
          <t xml:space="preserve">　　20:00～32:00</t>
        </is>
      </c>
      <c r="BB24" s="280">
        <f>IF(U24="",J24&gt;0,FALSE)</f>
        <v/>
      </c>
      <c r="BC24" s="674">
        <f>IF(AND(C24&lt;&gt;"",J24="",T24&lt;&gt;"欠勤"),"★",IF(T24="欠勤","",(IF(C24&lt;J24,J24-C24,0)+IF(D24&gt;K24,D24-K24,0))*24))</f>
        <v/>
      </c>
      <c r="BD24" s="674">
        <f>IF(OR(AND(COUNTA(C24)&gt;1,COUNTA(J24:K24)=0,COUNTA(C23)&gt;1),T24="欠勤"),IF(I24&gt;8,I24,8),0)</f>
        <v/>
      </c>
      <c r="BE24" s="287">
        <f>CEILING((DAY(A24)+7-WEEKDAY(A24))/7,1)</f>
        <v/>
      </c>
      <c r="BF24" s="65" t="n"/>
      <c r="BG24" s="65" t="n"/>
      <c r="BH24" s="65" t="n"/>
      <c r="BI24" s="65" t="n"/>
      <c r="BJ24" s="65" t="n"/>
      <c r="BK24" s="65" t="n"/>
      <c r="BL24" s="674">
        <f>IF($CC$5="≪シフト≫",0,IF(AND(BE24=1,B24="土"),$BI$8,IF(AND(BE24=2,B24="土"),$BI$9,IF(AND(BE24=3,B24="土"),$BI$10,IF(AND(BE24=4,B24="土"),$BI$11,IF(AND(BE24=5,B24="土"),$BI$12,IF(AND(BE24=6,B24="土"),$BI$13,0)))))))</f>
        <v/>
      </c>
      <c r="BM24" s="674">
        <f>IF($CC$5="≪通常≫",IF(N24&gt;8,N24-8,0),IF(N24&gt;I24,N24-I24,0))</f>
        <v/>
      </c>
      <c r="BN24" s="674">
        <f>SUMIF($BO$6:$BZ$6,1,$BO24:$BZ24)-(M24*24)</f>
        <v/>
      </c>
      <c r="BO24" s="675">
        <f>(IF(AND($J24&lt;$BP$7,$K24&gt;$BO$7),MIN($K24,$BP$7)-MAX($J24,$BO$7),0))*24</f>
        <v/>
      </c>
      <c r="BP24" s="679" t="n"/>
      <c r="BQ24" s="677">
        <f>(IF(AND($J24&lt;$BR$7,$K24&gt;$BQ$7),MIN($K24,$BR$7)-MAX($J24,$BQ$7),0))*24</f>
        <v/>
      </c>
      <c r="BR24" s="680" t="n"/>
      <c r="BS24" s="675">
        <f>(IF(AND($J24&lt;$BT$7,$K24&gt;$BS$7),MIN($K24,$BT$7)-MAX($J24,$BS$7),0))*24</f>
        <v/>
      </c>
      <c r="BT24" s="679" t="n"/>
      <c r="BU24" s="677">
        <f>(IF(AND($J24&lt;$BV$7,$K24&gt;$BU$7),MIN($K24,$BV$7)-MAX($J24,$BU$7),0))*24</f>
        <v/>
      </c>
      <c r="BV24" s="680" t="n"/>
      <c r="BW24" s="675">
        <f>(IF(AND($J24&lt;$BX$7,$K24&gt;$BW$7),MIN($K24,$BX$7)-MAX($J24,$BW$7),0))*24</f>
        <v/>
      </c>
      <c r="BX24" s="679" t="n"/>
      <c r="BY24" s="677">
        <f>(IF(AND($J24&lt;$BZ$7,$K24&gt;$BY$7),MIN($K24,$BZ$7)-MAX($J24,$BY$7),0))*24</f>
        <v/>
      </c>
      <c r="BZ24" s="680" t="n"/>
      <c r="CC24" s="287">
        <f>IF($A24="",0,WEEKDAY($A24))</f>
        <v/>
      </c>
      <c r="CD24" s="287">
        <f>IF($A24="",0,COUNTIF(祝日リスト!$B$2:$B$52,$A24))</f>
        <v/>
      </c>
      <c r="CE24" s="287">
        <f>IF($CC24=0,0,IF(OR($CC24=1,$CC24=7,$CD24=1),0,1))</f>
        <v/>
      </c>
    </row>
    <row r="25" ht="21" customHeight="1" s="643">
      <c r="A25" s="662">
        <f>A24+1</f>
        <v/>
      </c>
      <c r="B25" s="282">
        <f>CHOOSE(WEEKDAY(A25),"日","月","火","水","木","金","土")</f>
        <v/>
      </c>
      <c r="C25" s="663" t="n"/>
      <c r="D25" s="663" t="n"/>
      <c r="E25" s="663" t="n"/>
      <c r="F25" s="663" t="n"/>
      <c r="G25" s="663" t="n"/>
      <c r="H25" s="663" t="n"/>
      <c r="I25" s="664">
        <f>IF(C25="",0,((D25-C25)-(F25-E25)-(H25-G25))*24)</f>
        <v/>
      </c>
      <c r="J25" s="665" t="n"/>
      <c r="K25" s="666" t="n"/>
      <c r="L25" s="667" t="n"/>
      <c r="M25" s="667" t="n"/>
      <c r="N25" s="668">
        <f>IF(C25="",0,((K25-J25)-(L25+M25))*24)</f>
        <v/>
      </c>
      <c r="O25" s="669">
        <f>IF(BC25=0,"",BC25)</f>
        <v/>
      </c>
      <c r="P25" s="669">
        <f>IF(BD25=0,"",BD25)</f>
        <v/>
      </c>
      <c r="Q25" s="669">
        <f>IF(BL25=0,"",BL25)</f>
        <v/>
      </c>
      <c r="R25" s="669">
        <f>IF(BM25=0,"",BM25)</f>
        <v/>
      </c>
      <c r="S25" s="669">
        <f>IF(BN25=0,"",BN25)</f>
        <v/>
      </c>
      <c r="T25" s="670" t="n"/>
      <c r="U25" s="671" t="n"/>
      <c r="V25" s="672" t="n"/>
      <c r="W25" s="672" t="n"/>
      <c r="X25" s="672" t="n"/>
      <c r="Y25" s="672" t="n"/>
      <c r="Z25" s="672" t="n"/>
      <c r="AA25" s="673" t="n"/>
      <c r="AB25" s="72" t="inlineStr">
        <is>
          <t xml:space="preserve">　　 0:00～ 8:00</t>
        </is>
      </c>
      <c r="BB25" s="280">
        <f>IF(U25="",J25&gt;0,FALSE)</f>
        <v/>
      </c>
      <c r="BC25" s="674">
        <f>IF(AND(C25&lt;&gt;"",J25="",T25&lt;&gt;"欠勤"),"★",IF(T25="欠勤","",(IF(C25&lt;J25,J25-C25,0)+IF(D25&gt;K25,D25-K25,0))*24))</f>
        <v/>
      </c>
      <c r="BD25" s="674">
        <f>IF(OR(AND(COUNTA(C25)&gt;1,COUNTA(J25:K25)=0,COUNTA(C24)&gt;1),T25="欠勤"),IF(I25&gt;8,I25,8),0)</f>
        <v/>
      </c>
      <c r="BE25" s="287">
        <f>CEILING((DAY(A25)+7-WEEKDAY(A25))/7,1)</f>
        <v/>
      </c>
      <c r="BF25" s="65" t="n"/>
      <c r="BG25" s="65" t="n"/>
      <c r="BH25" s="65" t="n"/>
      <c r="BI25" s="65" t="n"/>
      <c r="BJ25" s="65" t="n"/>
      <c r="BK25" s="65" t="n"/>
      <c r="BL25" s="674">
        <f>IF($CC$5="≪シフト≫",0,IF(AND(BE25=1,B25="土"),$BI$8,IF(AND(BE25=2,B25="土"),$BI$9,IF(AND(BE25=3,B25="土"),$BI$10,IF(AND(BE25=4,B25="土"),$BI$11,IF(AND(BE25=5,B25="土"),$BI$12,IF(AND(BE25=6,B25="土"),$BI$13,0)))))))</f>
        <v/>
      </c>
      <c r="BM25" s="674">
        <f>IF($CC$5="≪通常≫",IF(N25&gt;8,N25-8,0),IF(N25&gt;I25,N25-I25,0))</f>
        <v/>
      </c>
      <c r="BN25" s="674">
        <f>SUMIF($BO$6:$BZ$6,1,$BO25:$BZ25)-(M25*24)</f>
        <v/>
      </c>
      <c r="BO25" s="675">
        <f>(IF(AND($J25&lt;$BP$7,$K25&gt;$BO$7),MIN($K25,$BP$7)-MAX($J25,$BO$7),0))*24</f>
        <v/>
      </c>
      <c r="BP25" s="679" t="n"/>
      <c r="BQ25" s="677">
        <f>(IF(AND($J25&lt;$BR$7,$K25&gt;$BQ$7),MIN($K25,$BR$7)-MAX($J25,$BQ$7),0))*24</f>
        <v/>
      </c>
      <c r="BR25" s="680" t="n"/>
      <c r="BS25" s="675">
        <f>(IF(AND($J25&lt;$BT$7,$K25&gt;$BS$7),MIN($K25,$BT$7)-MAX($J25,$BS$7),0))*24</f>
        <v/>
      </c>
      <c r="BT25" s="679" t="n"/>
      <c r="BU25" s="677">
        <f>(IF(AND($J25&lt;$BV$7,$K25&gt;$BU$7),MIN($K25,$BV$7)-MAX($J25,$BU$7),0))*24</f>
        <v/>
      </c>
      <c r="BV25" s="680" t="n"/>
      <c r="BW25" s="675">
        <f>(IF(AND($J25&lt;$BX$7,$K25&gt;$BW$7),MIN($K25,$BX$7)-MAX($J25,$BW$7),0))*24</f>
        <v/>
      </c>
      <c r="BX25" s="679" t="n"/>
      <c r="BY25" s="677">
        <f>(IF(AND($J25&lt;$BZ$7,$K25&gt;$BY$7),MIN($K25,$BZ$7)-MAX($J25,$BY$7),0))*24</f>
        <v/>
      </c>
      <c r="BZ25" s="680" t="n"/>
      <c r="CC25" s="287">
        <f>IF($A25="",0,WEEKDAY($A25))</f>
        <v/>
      </c>
      <c r="CD25" s="287">
        <f>IF($A25="",0,COUNTIF(祝日リスト!$B$2:$B$52,$A25))</f>
        <v/>
      </c>
      <c r="CE25" s="287">
        <f>IF($CC25=0,0,IF(OR($CC25=1,$CC25=7,$CD25=1),0,1))</f>
        <v/>
      </c>
    </row>
    <row r="26" ht="21" customHeight="1" s="643">
      <c r="A26" s="662">
        <f>A25+1</f>
        <v/>
      </c>
      <c r="B26" s="282">
        <f>CHOOSE(WEEKDAY(A26),"日","月","火","水","木","金","土")</f>
        <v/>
      </c>
      <c r="C26" s="663" t="n"/>
      <c r="D26" s="663" t="n"/>
      <c r="E26" s="663" t="n"/>
      <c r="F26" s="663" t="n"/>
      <c r="G26" s="663" t="n"/>
      <c r="H26" s="663" t="n"/>
      <c r="I26" s="664">
        <f>IF(C26="",0,((D26-C26)-(F26-E26)-(H26-G26))*24)</f>
        <v/>
      </c>
      <c r="J26" s="665" t="n"/>
      <c r="K26" s="666" t="n"/>
      <c r="L26" s="667" t="n"/>
      <c r="M26" s="667" t="n"/>
      <c r="N26" s="668">
        <f>IF(C26="",0,((K26-J26)-(L26+M26))*24)</f>
        <v/>
      </c>
      <c r="O26" s="669">
        <f>IF(BC26=0,"",BC26)</f>
        <v/>
      </c>
      <c r="P26" s="669">
        <f>IF(BD26=0,"",BD26)</f>
        <v/>
      </c>
      <c r="Q26" s="669">
        <f>IF(BL26=0,"",BL26)</f>
        <v/>
      </c>
      <c r="R26" s="669">
        <f>IF(BM26=0,"",BM26)</f>
        <v/>
      </c>
      <c r="S26" s="669">
        <f>IF(BN26=0,"",BN26)</f>
        <v/>
      </c>
      <c r="T26" s="670" t="n"/>
      <c r="U26" s="671" t="n"/>
      <c r="V26" s="672" t="n"/>
      <c r="W26" s="672" t="n"/>
      <c r="X26" s="672" t="n"/>
      <c r="Y26" s="672" t="n"/>
      <c r="Z26" s="672" t="n"/>
      <c r="AA26" s="673" t="n"/>
      <c r="AB26" s="472" t="inlineStr">
        <is>
          <t>↓</t>
        </is>
      </c>
      <c r="AD26" s="472" t="inlineStr">
        <is>
          <t>↓</t>
        </is>
      </c>
      <c r="BB26" s="280">
        <f>IF(U26="",J26&gt;0,FALSE)</f>
        <v/>
      </c>
      <c r="BC26" s="674">
        <f>IF(AND(C26&lt;&gt;"",J26="",T26&lt;&gt;"欠勤"),"★",IF(T26="欠勤","",(IF(C26&lt;J26,J26-C26,0)+IF(D26&gt;K26,D26-K26,0))*24))</f>
        <v/>
      </c>
      <c r="BD26" s="674">
        <f>IF(OR(AND(COUNTA(C26)&gt;1,COUNTA(J26:K26)=0,COUNTA(C25)&gt;1),T26="欠勤"),IF(I26&gt;8,I26,8),0)</f>
        <v/>
      </c>
      <c r="BE26" s="287">
        <f>CEILING((DAY(A26)+7-WEEKDAY(A26))/7,1)</f>
        <v/>
      </c>
      <c r="BF26" s="65" t="n"/>
      <c r="BG26" s="65" t="n"/>
      <c r="BH26" s="65" t="n"/>
      <c r="BI26" s="65" t="n"/>
      <c r="BJ26" s="65" t="n"/>
      <c r="BK26" s="65" t="n"/>
      <c r="BL26" s="674">
        <f>IF($CC$5="≪シフト≫",0,IF(AND(BE26=1,B26="土"),$BI$8,IF(AND(BE26=2,B26="土"),$BI$9,IF(AND(BE26=3,B26="土"),$BI$10,IF(AND(BE26=4,B26="土"),$BI$11,IF(AND(BE26=5,B26="土"),$BI$12,IF(AND(BE26=6,B26="土"),$BI$13,0)))))))</f>
        <v/>
      </c>
      <c r="BM26" s="674">
        <f>IF($CC$5="≪通常≫",IF(N26&gt;8,N26-8,0),IF(N26&gt;I26,N26-I26,0))</f>
        <v/>
      </c>
      <c r="BN26" s="674">
        <f>SUMIF($BO$6:$BZ$6,1,$BO26:$BZ26)-(M26*24)</f>
        <v/>
      </c>
      <c r="BO26" s="675">
        <f>(IF(AND($J26&lt;$BP$7,$K26&gt;$BO$7),MIN($K26,$BP$7)-MAX($J26,$BO$7),0))*24</f>
        <v/>
      </c>
      <c r="BP26" s="679" t="n"/>
      <c r="BQ26" s="677">
        <f>(IF(AND($J26&lt;$BR$7,$K26&gt;$BQ$7),MIN($K26,$BR$7)-MAX($J26,$BQ$7),0))*24</f>
        <v/>
      </c>
      <c r="BR26" s="680" t="n"/>
      <c r="BS26" s="675">
        <f>(IF(AND($J26&lt;$BT$7,$K26&gt;$BS$7),MIN($K26,$BT$7)-MAX($J26,$BS$7),0))*24</f>
        <v/>
      </c>
      <c r="BT26" s="679" t="n"/>
      <c r="BU26" s="677">
        <f>(IF(AND($J26&lt;$BV$7,$K26&gt;$BU$7),MIN($K26,$BV$7)-MAX($J26,$BU$7),0))*24</f>
        <v/>
      </c>
      <c r="BV26" s="680" t="n"/>
      <c r="BW26" s="675">
        <f>(IF(AND($J26&lt;$BX$7,$K26&gt;$BW$7),MIN($K26,$BX$7)-MAX($J26,$BW$7),0))*24</f>
        <v/>
      </c>
      <c r="BX26" s="679" t="n"/>
      <c r="BY26" s="677">
        <f>(IF(AND($J26&lt;$BZ$7,$K26&gt;$BY$7),MIN($K26,$BZ$7)-MAX($J26,$BY$7),0))*24</f>
        <v/>
      </c>
      <c r="BZ26" s="680" t="n"/>
      <c r="CC26" s="287">
        <f>IF($A26="",0,WEEKDAY($A26))</f>
        <v/>
      </c>
      <c r="CD26" s="287">
        <f>IF($A26="",0,COUNTIF(祝日リスト!$B$2:$B$52,$A26))</f>
        <v/>
      </c>
      <c r="CE26" s="287">
        <f>IF($CC26=0,0,IF(OR($CC26=1,$CC26=7,$CD26=1),0,1))</f>
        <v/>
      </c>
    </row>
    <row r="27" ht="21" customHeight="1" s="643">
      <c r="A27" s="662">
        <f>A26+1</f>
        <v/>
      </c>
      <c r="B27" s="282">
        <f>CHOOSE(WEEKDAY(A27),"日","月","火","水","木","金","土")</f>
        <v/>
      </c>
      <c r="C27" s="663" t="n"/>
      <c r="D27" s="663" t="n"/>
      <c r="E27" s="663" t="n"/>
      <c r="F27" s="663" t="n"/>
      <c r="G27" s="663" t="n"/>
      <c r="H27" s="663" t="n"/>
      <c r="I27" s="664">
        <f>IF(C27="",0,((D27-C27)-(F27-E27)-(H27-G27))*24)</f>
        <v/>
      </c>
      <c r="J27" s="665" t="n"/>
      <c r="K27" s="666" t="n"/>
      <c r="L27" s="667" t="n"/>
      <c r="M27" s="667" t="n"/>
      <c r="N27" s="668">
        <f>IF(C27="",0,((K27-J27)-(L27+M27))*24)</f>
        <v/>
      </c>
      <c r="O27" s="669">
        <f>IF(BC27=0,"",BC27)</f>
        <v/>
      </c>
      <c r="P27" s="669">
        <f>IF(BD27=0,"",BD27)</f>
        <v/>
      </c>
      <c r="Q27" s="669">
        <f>IF(BL27=0,"",BL27)</f>
        <v/>
      </c>
      <c r="R27" s="669">
        <f>IF(BM27=0,"",BM27)</f>
        <v/>
      </c>
      <c r="S27" s="669">
        <f>IF(BN27=0,"",BN27)</f>
        <v/>
      </c>
      <c r="T27" s="670" t="n"/>
      <c r="U27" s="671" t="n"/>
      <c r="V27" s="672" t="n"/>
      <c r="W27" s="672" t="n"/>
      <c r="X27" s="672" t="n"/>
      <c r="Y27" s="672" t="n"/>
      <c r="Z27" s="672" t="n"/>
      <c r="AA27" s="673" t="n"/>
      <c r="AB27" s="472" t="inlineStr">
        <is>
          <t>×</t>
        </is>
      </c>
      <c r="AD27" s="472" t="inlineStr">
        <is>
          <t>○</t>
        </is>
      </c>
      <c r="BB27" s="280">
        <f>IF(U27="",J27&gt;0,FALSE)</f>
        <v/>
      </c>
      <c r="BC27" s="674">
        <f>IF(AND(C27&lt;&gt;"",J27="",T27&lt;&gt;"欠勤"),"★",IF(T27="欠勤","",(IF(C27&lt;J27,J27-C27,0)+IF(D27&gt;K27,D27-K27,0))*24))</f>
        <v/>
      </c>
      <c r="BD27" s="674">
        <f>IF(OR(AND(COUNTA(C27)&gt;1,COUNTA(J27:K27)=0,COUNTA(C26)&gt;1),T27="欠勤"),IF(I27&gt;8,I27,8),0)</f>
        <v/>
      </c>
      <c r="BE27" s="287">
        <f>CEILING((DAY(A27)+7-WEEKDAY(A27))/7,1)</f>
        <v/>
      </c>
      <c r="BF27" s="65" t="n"/>
      <c r="BG27" s="65" t="n"/>
      <c r="BH27" s="65" t="n"/>
      <c r="BI27" s="65" t="n"/>
      <c r="BJ27" s="65" t="n"/>
      <c r="BK27" s="65" t="n"/>
      <c r="BL27" s="674">
        <f>IF($CC$5="≪シフト≫",0,IF(AND(BE27=1,B27="土"),$BI$8,IF(AND(BE27=2,B27="土"),$BI$9,IF(AND(BE27=3,B27="土"),$BI$10,IF(AND(BE27=4,B27="土"),$BI$11,IF(AND(BE27=5,B27="土"),$BI$12,IF(AND(BE27=6,B27="土"),$BI$13,0)))))))</f>
        <v/>
      </c>
      <c r="BM27" s="674">
        <f>IF($CC$5="≪通常≫",IF(N27&gt;8,N27-8,0),IF(N27&gt;I27,N27-I27,0))</f>
        <v/>
      </c>
      <c r="BN27" s="674">
        <f>SUMIF($BO$6:$BZ$6,1,$BO27:$BZ27)-(M27*24)</f>
        <v/>
      </c>
      <c r="BO27" s="675">
        <f>(IF(AND($J27&lt;$BP$7,$K27&gt;$BO$7),MIN($K27,$BP$7)-MAX($J27,$BO$7),0))*24</f>
        <v/>
      </c>
      <c r="BP27" s="679" t="n"/>
      <c r="BQ27" s="677">
        <f>(IF(AND($J27&lt;$BR$7,$K27&gt;$BQ$7),MIN($K27,$BR$7)-MAX($J27,$BQ$7),0))*24</f>
        <v/>
      </c>
      <c r="BR27" s="680" t="n"/>
      <c r="BS27" s="675">
        <f>(IF(AND($J27&lt;$BT$7,$K27&gt;$BS$7),MIN($K27,$BT$7)-MAX($J27,$BS$7),0))*24</f>
        <v/>
      </c>
      <c r="BT27" s="679" t="n"/>
      <c r="BU27" s="677">
        <f>(IF(AND($J27&lt;$BV$7,$K27&gt;$BU$7),MIN($K27,$BV$7)-MAX($J27,$BU$7),0))*24</f>
        <v/>
      </c>
      <c r="BV27" s="680" t="n"/>
      <c r="BW27" s="675">
        <f>(IF(AND($J27&lt;$BX$7,$K27&gt;$BW$7),MIN($K27,$BX$7)-MAX($J27,$BW$7),0))*24</f>
        <v/>
      </c>
      <c r="BX27" s="679" t="n"/>
      <c r="BY27" s="677">
        <f>(IF(AND($J27&lt;$BZ$7,$K27&gt;$BY$7),MIN($K27,$BZ$7)-MAX($J27,$BY$7),0))*24</f>
        <v/>
      </c>
      <c r="BZ27" s="680" t="n"/>
      <c r="CC27" s="287">
        <f>IF($A27="",0,WEEKDAY($A27))</f>
        <v/>
      </c>
      <c r="CD27" s="287">
        <f>IF($A27="",0,COUNTIF(祝日リスト!$B$2:$B$52,$A27))</f>
        <v/>
      </c>
      <c r="CE27" s="287">
        <f>IF($CC27=0,0,IF(OR($CC27=1,$CC27=7,$CD27=1),0,1))</f>
        <v/>
      </c>
    </row>
    <row r="28" ht="21" customHeight="1" s="643">
      <c r="A28" s="662">
        <f>A27+1</f>
        <v/>
      </c>
      <c r="B28" s="282">
        <f>CHOOSE(WEEKDAY(A28),"日","月","火","水","木","金","土")</f>
        <v/>
      </c>
      <c r="C28" s="663" t="n"/>
      <c r="D28" s="663" t="n"/>
      <c r="E28" s="663" t="n"/>
      <c r="F28" s="663" t="n"/>
      <c r="G28" s="663" t="n"/>
      <c r="H28" s="663" t="n"/>
      <c r="I28" s="664">
        <f>IF(C28="",0,((D28-C28)-(F28-E28)-(H28-G28))*24)</f>
        <v/>
      </c>
      <c r="J28" s="665" t="n"/>
      <c r="K28" s="666" t="n"/>
      <c r="L28" s="667" t="n"/>
      <c r="M28" s="667" t="n"/>
      <c r="N28" s="668">
        <f>IF(C28="",0,((K28-J28)-(L28+M28))*24)</f>
        <v/>
      </c>
      <c r="O28" s="669">
        <f>IF(BC28=0,"",BC28)</f>
        <v/>
      </c>
      <c r="P28" s="669">
        <f>IF(BD28=0,"",BD28)</f>
        <v/>
      </c>
      <c r="Q28" s="669">
        <f>IF(BL28=0,"",BL28)</f>
        <v/>
      </c>
      <c r="R28" s="669">
        <f>IF(BM28=0,"",BM28)</f>
        <v/>
      </c>
      <c r="S28" s="669">
        <f>IF(BN28=0,"",BN28)</f>
        <v/>
      </c>
      <c r="T28" s="670" t="n"/>
      <c r="U28" s="671" t="n"/>
      <c r="V28" s="672" t="n"/>
      <c r="W28" s="672" t="n"/>
      <c r="X28" s="672" t="n"/>
      <c r="Y28" s="672" t="n"/>
      <c r="Z28" s="672" t="n"/>
      <c r="AA28" s="673" t="n"/>
      <c r="BB28" s="280">
        <f>IF(U28="",J28&gt;0,FALSE)</f>
        <v/>
      </c>
      <c r="BC28" s="674">
        <f>IF(AND(C28&lt;&gt;"",J28="",T28&lt;&gt;"欠勤"),"★",IF(T28="欠勤","",(IF(C28&lt;J28,J28-C28,0)+IF(D28&gt;K28,D28-K28,0))*24))</f>
        <v/>
      </c>
      <c r="BD28" s="674">
        <f>IF(OR(AND(COUNTA(C28)&gt;1,COUNTA(J28:K28)=0,COUNTA(C27)&gt;1),T28="欠勤"),IF(I28&gt;8,I28,8),0)</f>
        <v/>
      </c>
      <c r="BE28" s="287">
        <f>CEILING((DAY(A28)+7-WEEKDAY(A28))/7,1)</f>
        <v/>
      </c>
      <c r="BF28" s="65" t="n"/>
      <c r="BG28" s="65" t="n"/>
      <c r="BH28" s="65" t="n"/>
      <c r="BI28" s="65" t="n"/>
      <c r="BJ28" s="65" t="n"/>
      <c r="BK28" s="65" t="n"/>
      <c r="BL28" s="674">
        <f>IF($CC$5="≪シフト≫",0,IF(AND(BE28=1,B28="土"),$BI$8,IF(AND(BE28=2,B28="土"),$BI$9,IF(AND(BE28=3,B28="土"),$BI$10,IF(AND(BE28=4,B28="土"),$BI$11,IF(AND(BE28=5,B28="土"),$BI$12,IF(AND(BE28=6,B28="土"),$BI$13,0)))))))</f>
        <v/>
      </c>
      <c r="BM28" s="674">
        <f>IF($CC$5="≪通常≫",IF(N28&gt;8,N28-8,0),IF(N28&gt;I28,N28-I28,0))</f>
        <v/>
      </c>
      <c r="BN28" s="674">
        <f>SUMIF($BO$6:$BZ$6,1,$BO28:$BZ28)-(M28*24)</f>
        <v/>
      </c>
      <c r="BO28" s="675">
        <f>(IF(AND($J28&lt;$BP$7,$K28&gt;$BO$7),MIN($K28,$BP$7)-MAX($J28,$BO$7),0))*24</f>
        <v/>
      </c>
      <c r="BP28" s="679" t="n"/>
      <c r="BQ28" s="677">
        <f>(IF(AND($J28&lt;$BR$7,$K28&gt;$BQ$7),MIN($K28,$BR$7)-MAX($J28,$BQ$7),0))*24</f>
        <v/>
      </c>
      <c r="BR28" s="680" t="n"/>
      <c r="BS28" s="675">
        <f>(IF(AND($J28&lt;$BT$7,$K28&gt;$BS$7),MIN($K28,$BT$7)-MAX($J28,$BS$7),0))*24</f>
        <v/>
      </c>
      <c r="BT28" s="679" t="n"/>
      <c r="BU28" s="677">
        <f>(IF(AND($J28&lt;$BV$7,$K28&gt;$BU$7),MIN($K28,$BV$7)-MAX($J28,$BU$7),0))*24</f>
        <v/>
      </c>
      <c r="BV28" s="680" t="n"/>
      <c r="BW28" s="675">
        <f>(IF(AND($J28&lt;$BX$7,$K28&gt;$BW$7),MIN($K28,$BX$7)-MAX($J28,$BW$7),0))*24</f>
        <v/>
      </c>
      <c r="BX28" s="679" t="n"/>
      <c r="BY28" s="677">
        <f>(IF(AND($J28&lt;$BZ$7,$K28&gt;$BY$7),MIN($K28,$BZ$7)-MAX($J28,$BY$7),0))*24</f>
        <v/>
      </c>
      <c r="BZ28" s="680" t="n"/>
      <c r="CC28" s="287">
        <f>IF($A28="",0,WEEKDAY($A28))</f>
        <v/>
      </c>
      <c r="CD28" s="287">
        <f>IF($A28="",0,COUNTIF(祝日リスト!$B$2:$B$52,$A28))</f>
        <v/>
      </c>
      <c r="CE28" s="287">
        <f>IF($CC28=0,0,IF(OR($CC28=1,$CC28=7,$CD28=1),0,1))</f>
        <v/>
      </c>
    </row>
    <row r="29" ht="21" customHeight="1" s="643">
      <c r="A29" s="662">
        <f>A28+1</f>
        <v/>
      </c>
      <c r="B29" s="282">
        <f>CHOOSE(WEEKDAY(A29),"日","月","火","水","木","金","土")</f>
        <v/>
      </c>
      <c r="C29" s="663" t="n"/>
      <c r="D29" s="663" t="n"/>
      <c r="E29" s="663" t="n"/>
      <c r="F29" s="663" t="n"/>
      <c r="G29" s="663" t="n"/>
      <c r="H29" s="663" t="n"/>
      <c r="I29" s="664">
        <f>IF(C29="",0,((D29-C29)-(F29-E29)-(H29-G29))*24)</f>
        <v/>
      </c>
      <c r="J29" s="665" t="n"/>
      <c r="K29" s="666" t="n"/>
      <c r="L29" s="667" t="n"/>
      <c r="M29" s="667" t="n"/>
      <c r="N29" s="668">
        <f>IF(C29="",0,((K29-J29)-(L29+M29))*24)</f>
        <v/>
      </c>
      <c r="O29" s="669">
        <f>IF(BC29=0,"",BC29)</f>
        <v/>
      </c>
      <c r="P29" s="669">
        <f>IF(BD29=0,"",BD29)</f>
        <v/>
      </c>
      <c r="Q29" s="669">
        <f>IF(BL29=0,"",BL29)</f>
        <v/>
      </c>
      <c r="R29" s="669">
        <f>IF(BM29=0,"",BM29)</f>
        <v/>
      </c>
      <c r="S29" s="669">
        <f>IF(BN29=0,"",BN29)</f>
        <v/>
      </c>
      <c r="T29" s="670" t="n"/>
      <c r="U29" s="671" t="n"/>
      <c r="V29" s="672" t="n"/>
      <c r="W29" s="672" t="n"/>
      <c r="X29" s="672" t="n"/>
      <c r="Y29" s="672" t="n"/>
      <c r="Z29" s="672" t="n"/>
      <c r="AA29" s="673" t="n"/>
      <c r="BB29" s="280">
        <f>IF(U29="",J29&gt;0,FALSE)</f>
        <v/>
      </c>
      <c r="BC29" s="674">
        <f>IF(AND(C29&lt;&gt;"",J29="",T29&lt;&gt;"欠勤"),"★",IF(T29="欠勤","",(IF(C29&lt;J29,J29-C29,0)+IF(D29&gt;K29,D29-K29,0))*24))</f>
        <v/>
      </c>
      <c r="BD29" s="674">
        <f>IF(OR(AND(COUNTA(C29)&gt;1,COUNTA(J29:K29)=0,COUNTA(C28)&gt;1),T29="欠勤"),IF(I29&gt;8,I29,8),0)</f>
        <v/>
      </c>
      <c r="BE29" s="287">
        <f>CEILING((DAY(A29)+7-WEEKDAY(A29))/7,1)</f>
        <v/>
      </c>
      <c r="BF29" s="65" t="n"/>
      <c r="BG29" s="65" t="n"/>
      <c r="BH29" s="65" t="n"/>
      <c r="BI29" s="65" t="n"/>
      <c r="BJ29" s="65" t="n"/>
      <c r="BK29" s="65" t="n"/>
      <c r="BL29" s="674">
        <f>IF($CC$5="≪シフト≫",0,IF(AND(BE29=1,B29="土"),$BI$8,IF(AND(BE29=2,B29="土"),$BI$9,IF(AND(BE29=3,B29="土"),$BI$10,IF(AND(BE29=4,B29="土"),$BI$11,IF(AND(BE29=5,B29="土"),$BI$12,IF(AND(BE29=6,B29="土"),$BI$13,0)))))))</f>
        <v/>
      </c>
      <c r="BM29" s="674">
        <f>IF($CC$5="≪通常≫",IF(N29&gt;8,N29-8,0),IF(N29&gt;I29,N29-I29,0))</f>
        <v/>
      </c>
      <c r="BN29" s="674">
        <f>SUMIF($BO$6:$BZ$6,1,$BO29:$BZ29)-(M29*24)</f>
        <v/>
      </c>
      <c r="BO29" s="675">
        <f>(IF(AND($J29&lt;$BP$7,$K29&gt;$BO$7),MIN($K29,$BP$7)-MAX($J29,$BO$7),0))*24</f>
        <v/>
      </c>
      <c r="BP29" s="679" t="n"/>
      <c r="BQ29" s="677">
        <f>(IF(AND($J29&lt;$BR$7,$K29&gt;$BQ$7),MIN($K29,$BR$7)-MAX($J29,$BQ$7),0))*24</f>
        <v/>
      </c>
      <c r="BR29" s="680" t="n"/>
      <c r="BS29" s="675">
        <f>(IF(AND($J29&lt;$BT$7,$K29&gt;$BS$7),MIN($K29,$BT$7)-MAX($J29,$BS$7),0))*24</f>
        <v/>
      </c>
      <c r="BT29" s="679" t="n"/>
      <c r="BU29" s="677">
        <f>(IF(AND($J29&lt;$BV$7,$K29&gt;$BU$7),MIN($K29,$BV$7)-MAX($J29,$BU$7),0))*24</f>
        <v/>
      </c>
      <c r="BV29" s="680" t="n"/>
      <c r="BW29" s="675">
        <f>(IF(AND($J29&lt;$BX$7,$K29&gt;$BW$7),MIN($K29,$BX$7)-MAX($J29,$BW$7),0))*24</f>
        <v/>
      </c>
      <c r="BX29" s="679" t="n"/>
      <c r="BY29" s="677">
        <f>(IF(AND($J29&lt;$BZ$7,$K29&gt;$BY$7),MIN($K29,$BZ$7)-MAX($J29,$BY$7),0))*24</f>
        <v/>
      </c>
      <c r="BZ29" s="680" t="n"/>
      <c r="CC29" s="287">
        <f>IF($A29="",0,WEEKDAY($A29))</f>
        <v/>
      </c>
      <c r="CD29" s="287">
        <f>IF($A29="",0,COUNTIF(祝日リスト!$B$2:$B$52,$A29))</f>
        <v/>
      </c>
      <c r="CE29" s="287">
        <f>IF($CC29=0,0,IF(OR($CC29=1,$CC29=7,$CD29=1),0,1))</f>
        <v/>
      </c>
    </row>
    <row r="30" ht="21" customHeight="1" s="643">
      <c r="A30" s="662">
        <f>A29+1</f>
        <v/>
      </c>
      <c r="B30" s="282">
        <f>CHOOSE(WEEKDAY(A30),"日","月","火","水","木","金","土")</f>
        <v/>
      </c>
      <c r="C30" s="663" t="n"/>
      <c r="D30" s="663" t="n"/>
      <c r="E30" s="663" t="n"/>
      <c r="F30" s="663" t="n"/>
      <c r="G30" s="663" t="n"/>
      <c r="H30" s="663" t="n"/>
      <c r="I30" s="664">
        <f>IF(C30="",0,((D30-C30)-(F30-E30)-(H30-G30))*24)</f>
        <v/>
      </c>
      <c r="J30" s="665" t="n"/>
      <c r="K30" s="666" t="n"/>
      <c r="L30" s="667" t="n"/>
      <c r="M30" s="667" t="n"/>
      <c r="N30" s="668">
        <f>IF(C30="",0,((K30-J30)-(L30+M30))*24)</f>
        <v/>
      </c>
      <c r="O30" s="669">
        <f>IF(BC30=0,"",BC30)</f>
        <v/>
      </c>
      <c r="P30" s="669">
        <f>IF(BD30=0,"",BD30)</f>
        <v/>
      </c>
      <c r="Q30" s="669">
        <f>IF(BL30=0,"",BL30)</f>
        <v/>
      </c>
      <c r="R30" s="669">
        <f>IF(BM30=0,"",BM30)</f>
        <v/>
      </c>
      <c r="S30" s="669">
        <f>IF(BN30=0,"",BN30)</f>
        <v/>
      </c>
      <c r="T30" s="670" t="n"/>
      <c r="U30" s="671" t="n"/>
      <c r="V30" s="672" t="n"/>
      <c r="W30" s="672" t="n"/>
      <c r="X30" s="672" t="n"/>
      <c r="Y30" s="672" t="n"/>
      <c r="Z30" s="672" t="n"/>
      <c r="AA30" s="673" t="n"/>
      <c r="AB30" s="72" t="inlineStr">
        <is>
          <t xml:space="preserve">　所定時間の休憩開始①/休憩終了①の欄には、勤務開始後に</t>
        </is>
      </c>
      <c r="BB30" s="280">
        <f>IF(U30="",J30&gt;0,FALSE)</f>
        <v/>
      </c>
      <c r="BC30" s="674">
        <f>IF(AND(C30&lt;&gt;"",J30="",T30&lt;&gt;"欠勤"),"★",IF(T30="欠勤","",(IF(C30&lt;J30,J30-C30,0)+IF(D30&gt;K30,D30-K30,0))*24))</f>
        <v/>
      </c>
      <c r="BD30" s="674">
        <f>IF(OR(AND(COUNTA(C30)&gt;1,COUNTA(J30:K30)=0,COUNTA(C29)&gt;1),T30="欠勤"),IF(I30&gt;8,I30,8),0)</f>
        <v/>
      </c>
      <c r="BE30" s="287">
        <f>CEILING((DAY(A30)+7-WEEKDAY(A30))/7,1)</f>
        <v/>
      </c>
      <c r="BF30" s="65" t="n"/>
      <c r="BG30" s="65" t="n"/>
      <c r="BH30" s="65" t="n"/>
      <c r="BI30" s="65" t="n"/>
      <c r="BJ30" s="65" t="n"/>
      <c r="BK30" s="65" t="n"/>
      <c r="BL30" s="674">
        <f>IF($CC$5="≪シフト≫",0,IF(AND(BE30=1,B30="土"),$BI$8,IF(AND(BE30=2,B30="土"),$BI$9,IF(AND(BE30=3,B30="土"),$BI$10,IF(AND(BE30=4,B30="土"),$BI$11,IF(AND(BE30=5,B30="土"),$BI$12,IF(AND(BE30=6,B30="土"),$BI$13,0)))))))</f>
        <v/>
      </c>
      <c r="BM30" s="674">
        <f>IF($CC$5="≪通常≫",IF(N30&gt;8,N30-8,0),IF(N30&gt;I30,N30-I30,0))</f>
        <v/>
      </c>
      <c r="BN30" s="674">
        <f>SUMIF($BO$6:$BZ$6,1,$BO30:$BZ30)-(M30*24)</f>
        <v/>
      </c>
      <c r="BO30" s="675">
        <f>(IF(AND($J30&lt;$BP$7,$K30&gt;$BO$7),MIN($K30,$BP$7)-MAX($J30,$BO$7),0))*24</f>
        <v/>
      </c>
      <c r="BP30" s="679" t="n"/>
      <c r="BQ30" s="677">
        <f>(IF(AND($J30&lt;$BR$7,$K30&gt;$BQ$7),MIN($K30,$BR$7)-MAX($J30,$BQ$7),0))*24</f>
        <v/>
      </c>
      <c r="BR30" s="680" t="n"/>
      <c r="BS30" s="675">
        <f>(IF(AND($J30&lt;$BT$7,$K30&gt;$BS$7),MIN($K30,$BT$7)-MAX($J30,$BS$7),0))*24</f>
        <v/>
      </c>
      <c r="BT30" s="679" t="n"/>
      <c r="BU30" s="677">
        <f>(IF(AND($J30&lt;$BV$7,$K30&gt;$BU$7),MIN($K30,$BV$7)-MAX($J30,$BU$7),0))*24</f>
        <v/>
      </c>
      <c r="BV30" s="680" t="n"/>
      <c r="BW30" s="675">
        <f>(IF(AND($J30&lt;$BX$7,$K30&gt;$BW$7),MIN($K30,$BX$7)-MAX($J30,$BW$7),0))*24</f>
        <v/>
      </c>
      <c r="BX30" s="679" t="n"/>
      <c r="BY30" s="677">
        <f>(IF(AND($J30&lt;$BZ$7,$K30&gt;$BY$7),MIN($K30,$BZ$7)-MAX($J30,$BY$7),0))*24</f>
        <v/>
      </c>
      <c r="BZ30" s="680" t="n"/>
      <c r="CC30" s="287">
        <f>IF($A30="",0,WEEKDAY($A30))</f>
        <v/>
      </c>
      <c r="CD30" s="287">
        <f>IF($A30="",0,COUNTIF(祝日リスト!$B$2:$B$52,$A30))</f>
        <v/>
      </c>
      <c r="CE30" s="287">
        <f>IF($CC30=0,0,IF(OR($CC30=1,$CC30=7,$CD30=1),0,1))</f>
        <v/>
      </c>
    </row>
    <row r="31" ht="21" customHeight="1" s="643">
      <c r="A31" s="662">
        <f>A30+1</f>
        <v/>
      </c>
      <c r="B31" s="282">
        <f>CHOOSE(WEEKDAY(A31),"日","月","火","水","木","金","土")</f>
        <v/>
      </c>
      <c r="C31" s="663" t="n"/>
      <c r="D31" s="663" t="n"/>
      <c r="E31" s="663" t="n"/>
      <c r="F31" s="663" t="n"/>
      <c r="G31" s="663" t="n"/>
      <c r="H31" s="663" t="n"/>
      <c r="I31" s="664">
        <f>IF(C31="",0,((D31-C31)-(F31-E31)-(H31-G31))*24)</f>
        <v/>
      </c>
      <c r="J31" s="665" t="n"/>
      <c r="K31" s="666" t="n"/>
      <c r="L31" s="667" t="n"/>
      <c r="M31" s="667" t="n"/>
      <c r="N31" s="668">
        <f>IF(C31="",0,((K31-J31)-(L31+M31))*24)</f>
        <v/>
      </c>
      <c r="O31" s="669">
        <f>IF(BC31=0,"",BC31)</f>
        <v/>
      </c>
      <c r="P31" s="669">
        <f>IF(BD31=0,"",BD31)</f>
        <v/>
      </c>
      <c r="Q31" s="669">
        <f>IF(BL31=0,"",BL31)</f>
        <v/>
      </c>
      <c r="R31" s="669">
        <f>IF(BM31=0,"",BM31)</f>
        <v/>
      </c>
      <c r="S31" s="669">
        <f>IF(BN31=0,"",BN31)</f>
        <v/>
      </c>
      <c r="T31" s="670" t="n"/>
      <c r="U31" s="671" t="n"/>
      <c r="V31" s="672" t="n"/>
      <c r="W31" s="672" t="n"/>
      <c r="X31" s="672" t="n"/>
      <c r="Y31" s="672" t="n"/>
      <c r="Z31" s="672" t="n"/>
      <c r="AA31" s="673" t="n"/>
      <c r="AB31" s="72" t="inlineStr">
        <is>
          <t xml:space="preserve">　最初にとる休憩時間を開始と終了時間に分けて記載する。</t>
        </is>
      </c>
      <c r="BB31" s="280">
        <f>IF(U31="",J31&gt;0,FALSE)</f>
        <v/>
      </c>
      <c r="BC31" s="674">
        <f>IF(AND(C31&lt;&gt;"",J31="",T31&lt;&gt;"欠勤"),"★",IF(T31="欠勤","",(IF(C31&lt;J31,J31-C31,0)+IF(D31&gt;K31,D31-K31,0))*24))</f>
        <v/>
      </c>
      <c r="BD31" s="674">
        <f>IF(OR(AND(COUNTA(C31)&gt;1,COUNTA(J31:K31)=0,COUNTA(C30)&gt;1),T31="欠勤"),IF(I31&gt;8,I31,8),0)</f>
        <v/>
      </c>
      <c r="BE31" s="287">
        <f>CEILING((DAY(A31)+7-WEEKDAY(A31))/7,1)</f>
        <v/>
      </c>
      <c r="BF31" s="65" t="n"/>
      <c r="BG31" s="65" t="n"/>
      <c r="BH31" s="65" t="n"/>
      <c r="BI31" s="65" t="n"/>
      <c r="BJ31" s="65" t="n"/>
      <c r="BK31" s="65" t="n"/>
      <c r="BL31" s="674">
        <f>IF($CC$5="≪シフト≫",0,IF(AND(BE31=1,B31="土"),$BI$8,IF(AND(BE31=2,B31="土"),$BI$9,IF(AND(BE31=3,B31="土"),$BI$10,IF(AND(BE31=4,B31="土"),$BI$11,IF(AND(BE31=5,B31="土"),$BI$12,IF(AND(BE31=6,B31="土"),$BI$13,0)))))))</f>
        <v/>
      </c>
      <c r="BM31" s="674">
        <f>IF($CC$5="≪通常≫",IF(N31&gt;8,N31-8,0),IF(N31&gt;I31,N31-I31,0))</f>
        <v/>
      </c>
      <c r="BN31" s="674">
        <f>SUMIF($BO$6:$BZ$6,1,$BO31:$BZ31)-(M31*24)</f>
        <v/>
      </c>
      <c r="BO31" s="675">
        <f>(IF(AND($J31&lt;$BP$7,$K31&gt;$BO$7),MIN($K31,$BP$7)-MAX($J31,$BO$7),0))*24</f>
        <v/>
      </c>
      <c r="BP31" s="679" t="n"/>
      <c r="BQ31" s="677">
        <f>(IF(AND($J31&lt;$BR$7,$K31&gt;$BQ$7),MIN($K31,$BR$7)-MAX($J31,$BQ$7),0))*24</f>
        <v/>
      </c>
      <c r="BR31" s="680" t="n"/>
      <c r="BS31" s="675">
        <f>(IF(AND($J31&lt;$BT$7,$K31&gt;$BS$7),MIN($K31,$BT$7)-MAX($J31,$BS$7),0))*24</f>
        <v/>
      </c>
      <c r="BT31" s="679" t="n"/>
      <c r="BU31" s="677">
        <f>(IF(AND($J31&lt;$BV$7,$K31&gt;$BU$7),MIN($K31,$BV$7)-MAX($J31,$BU$7),0))*24</f>
        <v/>
      </c>
      <c r="BV31" s="680" t="n"/>
      <c r="BW31" s="675">
        <f>(IF(AND($J31&lt;$BX$7,$K31&gt;$BW$7),MIN($K31,$BX$7)-MAX($J31,$BW$7),0))*24</f>
        <v/>
      </c>
      <c r="BX31" s="679" t="n"/>
      <c r="BY31" s="677">
        <f>(IF(AND($J31&lt;$BZ$7,$K31&gt;$BY$7),MIN($K31,$BZ$7)-MAX($J31,$BY$7),0))*24</f>
        <v/>
      </c>
      <c r="BZ31" s="680" t="n"/>
      <c r="CC31" s="287">
        <f>IF($A31="",0,WEEKDAY($A31))</f>
        <v/>
      </c>
      <c r="CD31" s="287">
        <f>IF($A31="",0,COUNTIF(祝日リスト!$B$2:$B$52,$A31))</f>
        <v/>
      </c>
      <c r="CE31" s="287">
        <f>IF($CC31=0,0,IF(OR($CC31=1,$CC31=7,$CD31=1),0,1))</f>
        <v/>
      </c>
    </row>
    <row r="32" ht="21" customHeight="1" s="643">
      <c r="A32" s="662">
        <f>A31+1</f>
        <v/>
      </c>
      <c r="B32" s="282">
        <f>CHOOSE(WEEKDAY(A32),"日","月","火","水","木","金","土")</f>
        <v/>
      </c>
      <c r="C32" s="663" t="n"/>
      <c r="D32" s="663" t="n"/>
      <c r="E32" s="663" t="n"/>
      <c r="F32" s="663" t="n"/>
      <c r="G32" s="663" t="n"/>
      <c r="H32" s="663" t="n"/>
      <c r="I32" s="664">
        <f>IF(C32="",0,((D32-C32)-(F32-E32)-(H32-G32))*24)</f>
        <v/>
      </c>
      <c r="J32" s="665" t="n"/>
      <c r="K32" s="666" t="n"/>
      <c r="L32" s="667" t="n"/>
      <c r="M32" s="667" t="n"/>
      <c r="N32" s="668">
        <f>IF(C32="",0,((K32-J32)-(L32+M32))*24)</f>
        <v/>
      </c>
      <c r="O32" s="669">
        <f>IF(BC32=0,"",BC32)</f>
        <v/>
      </c>
      <c r="P32" s="669">
        <f>IF(BD32=0,"",BD32)</f>
        <v/>
      </c>
      <c r="Q32" s="669">
        <f>IF(BL32=0,"",BL32)</f>
        <v/>
      </c>
      <c r="R32" s="669">
        <f>IF(BM32=0,"",BM32)</f>
        <v/>
      </c>
      <c r="S32" s="669">
        <f>IF(BN32=0,"",BN32)</f>
        <v/>
      </c>
      <c r="T32" s="670" t="n"/>
      <c r="U32" s="671" t="n"/>
      <c r="V32" s="672" t="n"/>
      <c r="W32" s="672" t="n"/>
      <c r="X32" s="672" t="n"/>
      <c r="Y32" s="672" t="n"/>
      <c r="Z32" s="672" t="n"/>
      <c r="AA32" s="673" t="n"/>
      <c r="AB32" s="72" t="inlineStr">
        <is>
          <t xml:space="preserve">　また、定時時間内に休憩が2回ある場合は、2回目の休憩時間を</t>
        </is>
      </c>
      <c r="BB32" s="280">
        <f>IF(U32="",J32&gt;0,FALSE)</f>
        <v/>
      </c>
      <c r="BC32" s="674">
        <f>IF(AND(C32&lt;&gt;"",J32="",T32&lt;&gt;"欠勤"),"★",IF(T32="欠勤","",(IF(C32&lt;J32,J32-C32,0)+IF(D32&gt;K32,D32-K32,0))*24))</f>
        <v/>
      </c>
      <c r="BD32" s="674">
        <f>IF(OR(AND(COUNTA(C32)&gt;1,COUNTA(J32:K32)=0,COUNTA(C31)&gt;1),T32="欠勤"),IF(I32&gt;8,I32,8),0)</f>
        <v/>
      </c>
      <c r="BE32" s="287">
        <f>CEILING((DAY(A32)+7-WEEKDAY(A32))/7,1)</f>
        <v/>
      </c>
      <c r="BF32" s="65" t="n"/>
      <c r="BG32" s="65" t="n"/>
      <c r="BH32" s="65" t="n"/>
      <c r="BI32" s="65" t="n"/>
      <c r="BJ32" s="65" t="n"/>
      <c r="BK32" s="65" t="n"/>
      <c r="BL32" s="674">
        <f>IF($CC$5="≪シフト≫",0,IF(AND(BE32=1,B32="土"),$BI$8,IF(AND(BE32=2,B32="土"),$BI$9,IF(AND(BE32=3,B32="土"),$BI$10,IF(AND(BE32=4,B32="土"),$BI$11,IF(AND(BE32=5,B32="土"),$BI$12,IF(AND(BE32=6,B32="土"),$BI$13,0)))))))</f>
        <v/>
      </c>
      <c r="BM32" s="674">
        <f>IF($CC$5="≪通常≫",IF(N32&gt;8,N32-8,0),IF(N32&gt;I32,N32-I32,0))</f>
        <v/>
      </c>
      <c r="BN32" s="674">
        <f>SUMIF($BO$6:$BZ$6,1,$BO32:$BZ32)-(M32*24)</f>
        <v/>
      </c>
      <c r="BO32" s="675">
        <f>(IF(AND($J32&lt;$BP$7,$K32&gt;$BO$7),MIN($K32,$BP$7)-MAX($J32,$BO$7),0))*24</f>
        <v/>
      </c>
      <c r="BP32" s="679" t="n"/>
      <c r="BQ32" s="677">
        <f>(IF(AND($J32&lt;$BR$7,$K32&gt;$BQ$7),MIN($K32,$BR$7)-MAX($J32,$BQ$7),0))*24</f>
        <v/>
      </c>
      <c r="BR32" s="680" t="n"/>
      <c r="BS32" s="675">
        <f>(IF(AND($J32&lt;$BT$7,$K32&gt;$BS$7),MIN($K32,$BT$7)-MAX($J32,$BS$7),0))*24</f>
        <v/>
      </c>
      <c r="BT32" s="679" t="n"/>
      <c r="BU32" s="677">
        <f>(IF(AND($J32&lt;$BV$7,$K32&gt;$BU$7),MIN($K32,$BV$7)-MAX($J32,$BU$7),0))*24</f>
        <v/>
      </c>
      <c r="BV32" s="680" t="n"/>
      <c r="BW32" s="675">
        <f>(IF(AND($J32&lt;$BX$7,$K32&gt;$BW$7),MIN($K32,$BX$7)-MAX($J32,$BW$7),0))*24</f>
        <v/>
      </c>
      <c r="BX32" s="679" t="n"/>
      <c r="BY32" s="677">
        <f>(IF(AND($J32&lt;$BZ$7,$K32&gt;$BY$7),MIN($K32,$BZ$7)-MAX($J32,$BY$7),0))*24</f>
        <v/>
      </c>
      <c r="BZ32" s="680" t="n"/>
      <c r="CC32" s="287">
        <f>IF($A32="",0,WEEKDAY($A32))</f>
        <v/>
      </c>
      <c r="CD32" s="287">
        <f>IF($A32="",0,COUNTIF(祝日リスト!$B$2:$B$52,$A32))</f>
        <v/>
      </c>
      <c r="CE32" s="287">
        <f>IF($CC32=0,0,IF(OR($CC32=1,$CC32=7,$CD32=1),0,1))</f>
        <v/>
      </c>
    </row>
    <row r="33" ht="21" customHeight="1" s="643">
      <c r="A33" s="662">
        <f>A32+1</f>
        <v/>
      </c>
      <c r="B33" s="282">
        <f>CHOOSE(WEEKDAY(A33),"日","月","火","水","木","金","土")</f>
        <v/>
      </c>
      <c r="C33" s="663" t="n"/>
      <c r="D33" s="663" t="n"/>
      <c r="E33" s="663" t="n"/>
      <c r="F33" s="663" t="n"/>
      <c r="G33" s="663" t="n"/>
      <c r="H33" s="663" t="n"/>
      <c r="I33" s="664">
        <f>IF(C33="",0,((D33-C33)-(F33-E33)-(H33-G33))*24)</f>
        <v/>
      </c>
      <c r="J33" s="665" t="n"/>
      <c r="K33" s="666" t="n"/>
      <c r="L33" s="667" t="n"/>
      <c r="M33" s="667" t="n"/>
      <c r="N33" s="668">
        <f>IF(C33="",0,((K33-J33)-(L33+M33))*24)</f>
        <v/>
      </c>
      <c r="O33" s="669">
        <f>IF(BC33=0,"",BC33)</f>
        <v/>
      </c>
      <c r="P33" s="669">
        <f>IF(BD33=0,"",BD33)</f>
        <v/>
      </c>
      <c r="Q33" s="669">
        <f>IF(BL33=0,"",BL33)</f>
        <v/>
      </c>
      <c r="R33" s="669">
        <f>IF(BM33=0,"",BM33)</f>
        <v/>
      </c>
      <c r="S33" s="669">
        <f>IF(BN33=0,"",BN33)</f>
        <v/>
      </c>
      <c r="T33" s="670" t="n"/>
      <c r="U33" s="671" t="n"/>
      <c r="V33" s="672" t="n"/>
      <c r="W33" s="672" t="n"/>
      <c r="X33" s="672" t="n"/>
      <c r="Y33" s="672" t="n"/>
      <c r="Z33" s="672" t="n"/>
      <c r="AA33" s="673" t="n"/>
      <c r="AB33" s="72" t="inlineStr">
        <is>
          <t xml:space="preserve">　休憩開始②/休憩終了②の欄に記載する。</t>
        </is>
      </c>
      <c r="BB33" s="280">
        <f>IF(U33="",J33&gt;0,FALSE)</f>
        <v/>
      </c>
      <c r="BC33" s="674">
        <f>IF(AND(C33&lt;&gt;"",J33="",T33&lt;&gt;"欠勤"),"★",IF(T33="欠勤","",(IF(C33&lt;J33,J33-C33,0)+IF(D33&gt;K33,D33-K33,0))*24))</f>
        <v/>
      </c>
      <c r="BD33" s="674">
        <f>IF(OR(AND(COUNTA(C33)&gt;1,COUNTA(J33:K33)=0,COUNTA(C32)&gt;1),T33="欠勤"),IF(I33&gt;8,I33,8),0)</f>
        <v/>
      </c>
      <c r="BE33" s="287">
        <f>CEILING((DAY(A33)+7-WEEKDAY(A33))/7,1)</f>
        <v/>
      </c>
      <c r="BF33" s="65" t="n"/>
      <c r="BG33" s="65" t="n"/>
      <c r="BH33" s="65" t="n"/>
      <c r="BI33" s="65" t="n"/>
      <c r="BJ33" s="65" t="n"/>
      <c r="BK33" s="65" t="n"/>
      <c r="BL33" s="674">
        <f>IF($CC$5="≪シフト≫",0,IF(AND(BE33=1,B33="土"),$BI$8,IF(AND(BE33=2,B33="土"),$BI$9,IF(AND(BE33=3,B33="土"),$BI$10,IF(AND(BE33=4,B33="土"),$BI$11,IF(AND(BE33=5,B33="土"),$BI$12,IF(AND(BE33=6,B33="土"),$BI$13,0)))))))</f>
        <v/>
      </c>
      <c r="BM33" s="674">
        <f>IF($CC$5="≪通常≫",IF(N33&gt;8,N33-8,0),IF(N33&gt;I33,N33-I33,0))</f>
        <v/>
      </c>
      <c r="BN33" s="674">
        <f>SUMIF($BO$6:$BZ$6,1,$BO33:$BZ33)-(M33*24)</f>
        <v/>
      </c>
      <c r="BO33" s="675">
        <f>(IF(AND($J33&lt;$BP$7,$K33&gt;$BO$7),MIN($K33,$BP$7)-MAX($J33,$BO$7),0))*24</f>
        <v/>
      </c>
      <c r="BP33" s="679" t="n"/>
      <c r="BQ33" s="677">
        <f>(IF(AND($J33&lt;$BR$7,$K33&gt;$BQ$7),MIN($K33,$BR$7)-MAX($J33,$BQ$7),0))*24</f>
        <v/>
      </c>
      <c r="BR33" s="680" t="n"/>
      <c r="BS33" s="675">
        <f>(IF(AND($J33&lt;$BT$7,$K33&gt;$BS$7),MIN($K33,$BT$7)-MAX($J33,$BS$7),0))*24</f>
        <v/>
      </c>
      <c r="BT33" s="679" t="n"/>
      <c r="BU33" s="677">
        <f>(IF(AND($J33&lt;$BV$7,$K33&gt;$BU$7),MIN($K33,$BV$7)-MAX($J33,$BU$7),0))*24</f>
        <v/>
      </c>
      <c r="BV33" s="680" t="n"/>
      <c r="BW33" s="675">
        <f>(IF(AND($J33&lt;$BX$7,$K33&gt;$BW$7),MIN($K33,$BX$7)-MAX($J33,$BW$7),0))*24</f>
        <v/>
      </c>
      <c r="BX33" s="679" t="n"/>
      <c r="BY33" s="677">
        <f>(IF(AND($J33&lt;$BZ$7,$K33&gt;$BY$7),MIN($K33,$BZ$7)-MAX($J33,$BY$7),0))*24</f>
        <v/>
      </c>
      <c r="BZ33" s="680" t="n"/>
      <c r="CC33" s="287">
        <f>IF($A33="",0,WEEKDAY($A33))</f>
        <v/>
      </c>
      <c r="CD33" s="287">
        <f>IF($A33="",0,COUNTIF(祝日リスト!$B$2:$B$52,$A33))</f>
        <v/>
      </c>
      <c r="CE33" s="287">
        <f>IF($CC33=0,0,IF(OR($CC33=1,$CC33=7,$CD33=1),0,1))</f>
        <v/>
      </c>
    </row>
    <row r="34" ht="21" customHeight="1" s="643">
      <c r="A34" s="662">
        <f>A33+1</f>
        <v/>
      </c>
      <c r="B34" s="282">
        <f>CHOOSE(WEEKDAY(A34),"日","月","火","水","木","金","土")</f>
        <v/>
      </c>
      <c r="C34" s="663" t="n"/>
      <c r="D34" s="663" t="n"/>
      <c r="E34" s="663" t="n"/>
      <c r="F34" s="663" t="n"/>
      <c r="G34" s="663" t="n"/>
      <c r="H34" s="663" t="n"/>
      <c r="I34" s="664">
        <f>IF(C34="",0,((D34-C34)-(F34-E34)-(H34-G34))*24)</f>
        <v/>
      </c>
      <c r="J34" s="665" t="n"/>
      <c r="K34" s="666" t="n"/>
      <c r="L34" s="667" t="n"/>
      <c r="M34" s="667" t="n"/>
      <c r="N34" s="668">
        <f>IF(C34="",0,((K34-J34)-(L34+M34))*24)</f>
        <v/>
      </c>
      <c r="O34" s="669">
        <f>IF(BC34=0,"",BC34)</f>
        <v/>
      </c>
      <c r="P34" s="669">
        <f>IF(BD34=0,"",BD34)</f>
        <v/>
      </c>
      <c r="Q34" s="669">
        <f>IF(BL34=0,"",BL34)</f>
        <v/>
      </c>
      <c r="R34" s="669">
        <f>IF(BM34=0,"",BM34)</f>
        <v/>
      </c>
      <c r="S34" s="669">
        <f>IF(BN34=0,"",BN34)</f>
        <v/>
      </c>
      <c r="T34" s="670" t="n"/>
      <c r="U34" s="671" t="n"/>
      <c r="V34" s="672" t="n"/>
      <c r="W34" s="672" t="n"/>
      <c r="X34" s="672" t="n"/>
      <c r="Y34" s="672" t="n"/>
      <c r="Z34" s="672" t="n"/>
      <c r="AA34" s="673" t="n"/>
      <c r="AB34" s="72" t="inlineStr">
        <is>
          <t xml:space="preserve">　例）9:00～18:00で昼12:00から1時間休憩の場合</t>
        </is>
      </c>
      <c r="BB34" s="280">
        <f>IF(U34="",J34&gt;0,FALSE)</f>
        <v/>
      </c>
      <c r="BC34" s="674">
        <f>IF(AND(C34&lt;&gt;"",J34="",T34&lt;&gt;"欠勤"),"★",IF(T34="欠勤","",(IF(C34&lt;J34,J34-C34,0)+IF(D34&gt;K34,D34-K34,0))*24))</f>
        <v/>
      </c>
      <c r="BD34" s="674">
        <f>IF(OR(AND(COUNTA(C34)&gt;1,COUNTA(J34:K34)=0,COUNTA(C33)&gt;1),T34="欠勤"),IF(I34&gt;8,I34,8),0)</f>
        <v/>
      </c>
      <c r="BE34" s="287">
        <f>CEILING((DAY(A34)+7-WEEKDAY(A34))/7,1)</f>
        <v/>
      </c>
      <c r="BF34" s="65" t="n"/>
      <c r="BG34" s="65" t="n"/>
      <c r="BH34" s="65" t="n"/>
      <c r="BI34" s="65" t="n"/>
      <c r="BJ34" s="65" t="n"/>
      <c r="BK34" s="65" t="n"/>
      <c r="BL34" s="674">
        <f>IF($CC$5="≪シフト≫",0,IF(AND(BE34=1,B34="土"),$BI$8,IF(AND(BE34=2,B34="土"),$BI$9,IF(AND(BE34=3,B34="土"),$BI$10,IF(AND(BE34=4,B34="土"),$BI$11,IF(AND(BE34=5,B34="土"),$BI$12,IF(AND(BE34=6,B34="土"),$BI$13,0)))))))</f>
        <v/>
      </c>
      <c r="BM34" s="674">
        <f>IF($CC$5="≪通常≫",IF(N34&gt;8,N34-8,0),IF(N34&gt;I34,N34-I34,0))</f>
        <v/>
      </c>
      <c r="BN34" s="674">
        <f>SUMIF($BO$6:$BZ$6,1,$BO34:$BZ34)-(M34*24)</f>
        <v/>
      </c>
      <c r="BO34" s="675">
        <f>(IF(AND($J34&lt;$BP$7,$K34&gt;$BO$7),MIN($K34,$BP$7)-MAX($J34,$BO$7),0))*24</f>
        <v/>
      </c>
      <c r="BP34" s="679" t="n"/>
      <c r="BQ34" s="677">
        <f>(IF(AND($J34&lt;$BR$7,$K34&gt;$BQ$7),MIN($K34,$BR$7)-MAX($J34,$BQ$7),0))*24</f>
        <v/>
      </c>
      <c r="BR34" s="680" t="n"/>
      <c r="BS34" s="675">
        <f>(IF(AND($J34&lt;$BT$7,$K34&gt;$BS$7),MIN($K34,$BT$7)-MAX($J34,$BS$7),0))*24</f>
        <v/>
      </c>
      <c r="BT34" s="679" t="n"/>
      <c r="BU34" s="677">
        <f>(IF(AND($J34&lt;$BV$7,$K34&gt;$BU$7),MIN($K34,$BV$7)-MAX($J34,$BU$7),0))*24</f>
        <v/>
      </c>
      <c r="BV34" s="680" t="n"/>
      <c r="BW34" s="675">
        <f>(IF(AND($J34&lt;$BX$7,$K34&gt;$BW$7),MIN($K34,$BX$7)-MAX($J34,$BW$7),0))*24</f>
        <v/>
      </c>
      <c r="BX34" s="679" t="n"/>
      <c r="BY34" s="677">
        <f>(IF(AND($J34&lt;$BZ$7,$K34&gt;$BY$7),MIN($K34,$BZ$7)-MAX($J34,$BY$7),0))*24</f>
        <v/>
      </c>
      <c r="BZ34" s="680" t="n"/>
      <c r="CC34" s="287">
        <f>IF($A34="",0,WEEKDAY($A34))</f>
        <v/>
      </c>
      <c r="CD34" s="287">
        <f>IF($A34="",0,COUNTIF(祝日リスト!$B$2:$B$52,$A34))</f>
        <v/>
      </c>
      <c r="CE34" s="287">
        <f>IF($CC34=0,0,IF(OR($CC34=1,$CC34=7,$CD34=1),0,1))</f>
        <v/>
      </c>
    </row>
    <row r="35" ht="21" customHeight="1" s="643">
      <c r="A35" s="662">
        <f>A34+1</f>
        <v/>
      </c>
      <c r="B35" s="282">
        <f>CHOOSE(WEEKDAY(A35),"日","月","火","水","木","金","土")</f>
        <v/>
      </c>
      <c r="C35" s="663" t="n"/>
      <c r="D35" s="663" t="n"/>
      <c r="E35" s="663" t="n"/>
      <c r="F35" s="663" t="n"/>
      <c r="G35" s="663" t="n"/>
      <c r="H35" s="663" t="n"/>
      <c r="I35" s="664">
        <f>IF(C35="",0,((D35-C35)-(F35-E35)-(H35-G35))*24)</f>
        <v/>
      </c>
      <c r="J35" s="665" t="n"/>
      <c r="K35" s="666" t="n"/>
      <c r="L35" s="667" t="n"/>
      <c r="M35" s="667" t="n"/>
      <c r="N35" s="668">
        <f>IF(C35="",0,((K35-J35)-(L35+M35))*24)</f>
        <v/>
      </c>
      <c r="O35" s="669">
        <f>IF(BC35=0,"",BC35)</f>
        <v/>
      </c>
      <c r="P35" s="669">
        <f>IF(BD35=0,"",BD35)</f>
        <v/>
      </c>
      <c r="Q35" s="669">
        <f>IF(BL35=0,"",BL35)</f>
        <v/>
      </c>
      <c r="R35" s="669">
        <f>IF(BM35=0,"",BM35)</f>
        <v/>
      </c>
      <c r="S35" s="669">
        <f>IF(BN35=0,"",BN35)</f>
        <v/>
      </c>
      <c r="T35" s="670" t="n"/>
      <c r="U35" s="671" t="n"/>
      <c r="V35" s="672" t="n"/>
      <c r="W35" s="672" t="n"/>
      <c r="X35" s="672" t="n"/>
      <c r="Y35" s="672" t="n"/>
      <c r="Z35" s="672" t="n"/>
      <c r="AA35" s="673" t="n"/>
      <c r="AB35" s="72" t="inlineStr">
        <is>
          <t xml:space="preserve">　　12:00～13:00</t>
        </is>
      </c>
      <c r="BB35" s="280">
        <f>IF(U35="",J35&gt;0,FALSE)</f>
        <v/>
      </c>
      <c r="BC35" s="674">
        <f>IF(AND(C35&lt;&gt;"",J35="",T35&lt;&gt;"欠勤"),"★",IF(T35="欠勤","",(IF(C35&lt;J35,J35-C35,0)+IF(D35&gt;K35,D35-K35,0))*24))</f>
        <v/>
      </c>
      <c r="BD35" s="674">
        <f>IF(OR(AND(COUNTA(C35)&gt;1,COUNTA(J35:K35)=0,COUNTA(C34)&gt;1),T35="欠勤"),IF(I35&gt;8,I35,8),0)</f>
        <v/>
      </c>
      <c r="BE35" s="287">
        <f>CEILING((DAY(A35)+7-WEEKDAY(A35))/7,1)</f>
        <v/>
      </c>
      <c r="BF35" s="65" t="n"/>
      <c r="BG35" s="65" t="n"/>
      <c r="BH35" s="65" t="n"/>
      <c r="BI35" s="65" t="n"/>
      <c r="BJ35" s="65" t="n"/>
      <c r="BK35" s="65" t="n"/>
      <c r="BL35" s="674">
        <f>IF($CC$5="≪シフト≫",0,IF(AND(BE35=1,B35="土"),$BI$8,IF(AND(BE35=2,B35="土"),$BI$9,IF(AND(BE35=3,B35="土"),$BI$10,IF(AND(BE35=4,B35="土"),$BI$11,IF(AND(BE35=5,B35="土"),$BI$12,IF(AND(BE35=6,B35="土"),$BI$13,0)))))))</f>
        <v/>
      </c>
      <c r="BM35" s="674">
        <f>IF($CC$5="≪通常≫",IF(N35&gt;8,N35-8,0),IF(N35&gt;I35,N35-I35,0))</f>
        <v/>
      </c>
      <c r="BN35" s="674">
        <f>SUMIF($BO$6:$BZ$6,1,$BO35:$BZ35)-(M35*24)</f>
        <v/>
      </c>
      <c r="BO35" s="675">
        <f>(IF(AND($J35&lt;$BP$7,$K35&gt;$BO$7),MIN($K35,$BP$7)-MAX($J35,$BO$7),0))*24</f>
        <v/>
      </c>
      <c r="BP35" s="679" t="n"/>
      <c r="BQ35" s="677">
        <f>(IF(AND($J35&lt;$BR$7,$K35&gt;$BQ$7),MIN($K35,$BR$7)-MAX($J35,$BQ$7),0))*24</f>
        <v/>
      </c>
      <c r="BR35" s="680" t="n"/>
      <c r="BS35" s="675">
        <f>(IF(AND($J35&lt;$BT$7,$K35&gt;$BS$7),MIN($K35,$BT$7)-MAX($J35,$BS$7),0))*24</f>
        <v/>
      </c>
      <c r="BT35" s="679" t="n"/>
      <c r="BU35" s="677">
        <f>(IF(AND($J35&lt;$BV$7,$K35&gt;$BU$7),MIN($K35,$BV$7)-MAX($J35,$BU$7),0))*24</f>
        <v/>
      </c>
      <c r="BV35" s="680" t="n"/>
      <c r="BW35" s="675">
        <f>(IF(AND($J35&lt;$BX$7,$K35&gt;$BW$7),MIN($K35,$BX$7)-MAX($J35,$BW$7),0))*24</f>
        <v/>
      </c>
      <c r="BX35" s="679" t="n"/>
      <c r="BY35" s="677">
        <f>(IF(AND($J35&lt;$BZ$7,$K35&gt;$BY$7),MIN($K35,$BZ$7)-MAX($J35,$BY$7),0))*24</f>
        <v/>
      </c>
      <c r="BZ35" s="680" t="n"/>
      <c r="CC35" s="287">
        <f>IF($A35="",0,WEEKDAY($A35))</f>
        <v/>
      </c>
      <c r="CD35" s="287">
        <f>IF($A35="",0,COUNTIF(祝日リスト!$B$2:$B$52,$A35))</f>
        <v/>
      </c>
      <c r="CE35" s="287">
        <f>IF($CC35=0,0,IF(OR($CC35=1,$CC35=7,$CD35=1),0,1))</f>
        <v/>
      </c>
    </row>
    <row r="36" ht="21" customHeight="1" s="643">
      <c r="A36" s="662">
        <f>IF(MONTH(A35+1)=$W$3,A35+1,"")</f>
        <v/>
      </c>
      <c r="B36" s="282">
        <f>IF(A36="","",CHOOSE(WEEKDAY(A36),"日","月","火","水","木","金","土"))</f>
        <v/>
      </c>
      <c r="C36" s="663" t="n"/>
      <c r="D36" s="663" t="n"/>
      <c r="E36" s="663" t="n"/>
      <c r="F36" s="663" t="n"/>
      <c r="G36" s="663" t="n"/>
      <c r="H36" s="663" t="n"/>
      <c r="I36" s="664">
        <f>IF(C36="",0,((D36-C36)-(F36-E36)-(H36-G36))*24)</f>
        <v/>
      </c>
      <c r="J36" s="665" t="n"/>
      <c r="K36" s="666" t="n"/>
      <c r="L36" s="667" t="n"/>
      <c r="M36" s="667" t="n"/>
      <c r="N36" s="668">
        <f>IF(C36="",0,((K36-J36)-(L36+M36))*24)</f>
        <v/>
      </c>
      <c r="O36" s="669">
        <f>IF(BC36=0,"",BC36)</f>
        <v/>
      </c>
      <c r="P36" s="669">
        <f>IF(BD36=0,"",BD36)</f>
        <v/>
      </c>
      <c r="Q36" s="669">
        <f>IF(BL36=0,"",BL36)</f>
        <v/>
      </c>
      <c r="R36" s="669">
        <f>IF(BM36=0,"",BM36)</f>
        <v/>
      </c>
      <c r="S36" s="669">
        <f>IF(BN36=0,"",BN36)</f>
        <v/>
      </c>
      <c r="T36" s="670" t="n"/>
      <c r="U36" s="671" t="n"/>
      <c r="V36" s="672" t="n"/>
      <c r="W36" s="672" t="n"/>
      <c r="X36" s="672" t="n"/>
      <c r="Y36" s="672" t="n"/>
      <c r="Z36" s="672" t="n"/>
      <c r="AA36" s="673" t="n"/>
      <c r="AB36" s="72" t="inlineStr">
        <is>
          <t xml:space="preserve">　例）22:00～翌日9:00で深夜2:00から1時間休憩の場合</t>
        </is>
      </c>
      <c r="BB36" s="280">
        <f>IF(U36="",J36&gt;0,FALSE)</f>
        <v/>
      </c>
      <c r="BC36" s="674">
        <f>IF(AND(C36&lt;&gt;"",J36="",T36&lt;&gt;"欠勤"),"★",IF(T36="欠勤","",(IF(C36&lt;J36,J36-C36,0)+IF(D36&gt;K36,D36-K36,0))*24))</f>
        <v/>
      </c>
      <c r="BD36" s="674">
        <f>IF(OR(AND(COUNTA(C36)&gt;1,COUNTA(J36:K36)=0,COUNTA(C35)&gt;1),T36="欠勤"),IF(I36&gt;8,I36,8),0)</f>
        <v/>
      </c>
      <c r="BE36" s="287">
        <f>IF(A36="",0,CEILING((DAY(A36)+7-WEEKDAY(A36))/7,1))</f>
        <v/>
      </c>
      <c r="BF36" s="65" t="n"/>
      <c r="BG36" s="65" t="n"/>
      <c r="BH36" s="65" t="n"/>
      <c r="BI36" s="65" t="n"/>
      <c r="BJ36" s="65" t="n"/>
      <c r="BK36" s="65" t="n"/>
      <c r="BL36" s="674">
        <f>IF($CC$5="≪シフト≫",0,IF(AND(BE36=1,B36="土"),$BI$8,IF(AND(BE36=2,B36="土"),$BI$9,IF(AND(BE36=3,B36="土"),$BI$10,IF(AND(BE36=4,B36="土"),$BI$11,IF(AND(BE36=5,B36="土"),$BI$12,IF(AND(BE36=6,B36="土"),$BI$13,0)))))))</f>
        <v/>
      </c>
      <c r="BM36" s="674">
        <f>IF($CC$5="≪通常≫",IF(N36&gt;8,N36-8,0),IF(N36&gt;I36,N36-I36,0))</f>
        <v/>
      </c>
      <c r="BN36" s="674">
        <f>SUMIF($BO$6:$BZ$6,1,$BO36:$BZ36)-(M36*24)</f>
        <v/>
      </c>
      <c r="BO36" s="675">
        <f>(IF(AND($J36&lt;$BP$7,$K36&gt;$BO$7),MIN($K36,$BP$7)-MAX($J36,$BO$7),0))*24</f>
        <v/>
      </c>
      <c r="BP36" s="679" t="n"/>
      <c r="BQ36" s="677">
        <f>(IF(AND($J36&lt;$BR$7,$K36&gt;$BQ$7),MIN($K36,$BR$7)-MAX($J36,$BQ$7),0))*24</f>
        <v/>
      </c>
      <c r="BR36" s="680" t="n"/>
      <c r="BS36" s="675">
        <f>(IF(AND($J36&lt;$BT$7,$K36&gt;$BS$7),MIN($K36,$BT$7)-MAX($J36,$BS$7),0))*24</f>
        <v/>
      </c>
      <c r="BT36" s="679" t="n"/>
      <c r="BU36" s="677">
        <f>(IF(AND($J36&lt;$BV$7,$K36&gt;$BU$7),MIN($K36,$BV$7)-MAX($J36,$BU$7),0))*24</f>
        <v/>
      </c>
      <c r="BV36" s="680" t="n"/>
      <c r="BW36" s="675">
        <f>(IF(AND($J36&lt;$BX$7,$K36&gt;$BW$7),MIN($K36,$BX$7)-MAX($J36,$BW$7),0))*24</f>
        <v/>
      </c>
      <c r="BX36" s="679" t="n"/>
      <c r="BY36" s="677">
        <f>(IF(AND($J36&lt;$BZ$7,$K36&gt;$BY$7),MIN($K36,$BZ$7)-MAX($J36,$BY$7),0))*24</f>
        <v/>
      </c>
      <c r="BZ36" s="680" t="n"/>
      <c r="CC36" s="287">
        <f>IF($A36="",0,WEEKDAY($A36))</f>
        <v/>
      </c>
      <c r="CD36" s="287">
        <f>IF($A36="",0,COUNTIF(祝日リスト!$B$2:$B$52,$A36))</f>
        <v/>
      </c>
      <c r="CE36" s="287">
        <f>IF($CC36=0,0,IF(OR($CC36=1,$CC36=7,$CD36=1),0,1))</f>
        <v/>
      </c>
    </row>
    <row r="37" ht="21" customHeight="1" s="643">
      <c r="A37" s="662">
        <f>IF(MONTH(A35+2)=$W$3,A35+2,"")</f>
        <v/>
      </c>
      <c r="B37" s="282">
        <f>IF(A37="","",CHOOSE(WEEKDAY(A37),"日","月","火","水","木","金","土"))</f>
        <v/>
      </c>
      <c r="C37" s="663" t="n"/>
      <c r="D37" s="663" t="n"/>
      <c r="E37" s="663" t="n"/>
      <c r="F37" s="663" t="n"/>
      <c r="G37" s="663" t="n"/>
      <c r="H37" s="663" t="n"/>
      <c r="I37" s="664">
        <f>IF(C37="",0,((D37-C37)-(F37-E37)-(H37-G37))*24)</f>
        <v/>
      </c>
      <c r="J37" s="665" t="n"/>
      <c r="K37" s="666" t="n"/>
      <c r="L37" s="667" t="n"/>
      <c r="M37" s="667" t="n"/>
      <c r="N37" s="668">
        <f>IF(C37="",0,((K37-J37)-(L37+M37))*24)</f>
        <v/>
      </c>
      <c r="O37" s="669">
        <f>IF(BC37=0,"",BC37)</f>
        <v/>
      </c>
      <c r="P37" s="669">
        <f>IF(BD37=0,"",BD37)</f>
        <v/>
      </c>
      <c r="Q37" s="669">
        <f>IF(BL37=0,"",BL37)</f>
        <v/>
      </c>
      <c r="R37" s="669">
        <f>IF(BM37=0,"",BM37)</f>
        <v/>
      </c>
      <c r="S37" s="669">
        <f>IF(BN37=0,"",BN37)</f>
        <v/>
      </c>
      <c r="T37" s="670" t="n"/>
      <c r="U37" s="671" t="n"/>
      <c r="V37" s="672" t="n"/>
      <c r="W37" s="672" t="n"/>
      <c r="X37" s="672" t="n"/>
      <c r="Y37" s="672" t="n"/>
      <c r="Z37" s="672" t="n"/>
      <c r="AA37" s="673" t="n"/>
      <c r="AB37" s="72" t="inlineStr">
        <is>
          <t xml:space="preserve">　　26:00～27:00</t>
        </is>
      </c>
      <c r="BB37" s="280">
        <f>IF(U37="",J37&gt;0,FALSE)</f>
        <v/>
      </c>
      <c r="BC37" s="674">
        <f>IF(AND(C37&lt;&gt;"",J37="",T37&lt;&gt;"欠勤"),"★",IF(T37="欠勤","",(IF(C37&lt;J37,J37-C37,0)+IF(D37&gt;K37,D37-K37,0))*24))</f>
        <v/>
      </c>
      <c r="BD37" s="674">
        <f>IF(OR(AND(COUNTA(C37)&gt;1,COUNTA(J37:K37)=0,COUNTA(C36)&gt;1),T37="欠勤"),IF(I37&gt;8,I37,8),0)</f>
        <v/>
      </c>
      <c r="BE37" s="287">
        <f>IF(A37="",0,CEILING((DAY(A37)+7-WEEKDAY(A37))/7,1))</f>
        <v/>
      </c>
      <c r="BF37" s="65" t="n"/>
      <c r="BG37" s="65" t="n"/>
      <c r="BH37" s="65" t="n"/>
      <c r="BI37" s="65" t="n"/>
      <c r="BJ37" s="65" t="n"/>
      <c r="BK37" s="65" t="n"/>
      <c r="BL37" s="674">
        <f>IF($CC$5="≪シフト≫",0,IF(AND(BE37=1,B37="土"),$BI$8,IF(AND(BE37=2,B37="土"),$BI$9,IF(AND(BE37=3,B37="土"),$BI$10,IF(AND(BE37=4,B37="土"),$BI$11,IF(AND(BE37=5,B37="土"),$BI$12,IF(AND(BE37=6,B37="土"),$BI$13,0)))))))</f>
        <v/>
      </c>
      <c r="BM37" s="674">
        <f>IF($CC$5="≪通常≫",IF(N37&gt;8,N37-8,0),IF(N37&gt;I37,N37-I37,0))</f>
        <v/>
      </c>
      <c r="BN37" s="674">
        <f>SUMIF($BO$6:$BZ$6,1,$BO37:$BZ37)-(M37*24)</f>
        <v/>
      </c>
      <c r="BO37" s="675">
        <f>(IF(AND($J37&lt;$BP$7,$K37&gt;$BO$7),MIN($K37,$BP$7)-MAX($J37,$BO$7),0))*24</f>
        <v/>
      </c>
      <c r="BP37" s="679" t="n"/>
      <c r="BQ37" s="677">
        <f>(IF(AND($J37&lt;$BR$7,$K37&gt;$BQ$7),MIN($K37,$BR$7)-MAX($J37,$BQ$7),0))*24</f>
        <v/>
      </c>
      <c r="BR37" s="680" t="n"/>
      <c r="BS37" s="675">
        <f>(IF(AND($J37&lt;$BT$7,$K37&gt;$BS$7),MIN($K37,$BT$7)-MAX($J37,$BS$7),0))*24</f>
        <v/>
      </c>
      <c r="BT37" s="679" t="n"/>
      <c r="BU37" s="677">
        <f>(IF(AND($J37&lt;$BV$7,$K37&gt;$BU$7),MIN($K37,$BV$7)-MAX($J37,$BU$7),0))*24</f>
        <v/>
      </c>
      <c r="BV37" s="680" t="n"/>
      <c r="BW37" s="675">
        <f>(IF(AND($J37&lt;$BX$7,$K37&gt;$BW$7),MIN($K37,$BX$7)-MAX($J37,$BW$7),0))*24</f>
        <v/>
      </c>
      <c r="BX37" s="679" t="n"/>
      <c r="BY37" s="677">
        <f>(IF(AND($J37&lt;$BZ$7,$K37&gt;$BY$7),MIN($K37,$BZ$7)-MAX($J37,$BY$7),0))*24</f>
        <v/>
      </c>
      <c r="BZ37" s="680" t="n"/>
      <c r="CC37" s="287">
        <f>IF($A37="",0,WEEKDAY($A37))</f>
        <v/>
      </c>
      <c r="CD37" s="287">
        <f>IF($A37="",0,COUNTIF(祝日リスト!$B$2:$B$52,$A37))</f>
        <v/>
      </c>
      <c r="CE37" s="287">
        <f>IF($CC37=0,0,IF(OR($CC37=1,$CC37=7,$CD37=1),0,1))</f>
        <v/>
      </c>
    </row>
    <row r="38" ht="21" customHeight="1" s="643" thickBot="1">
      <c r="A38" s="682">
        <f>IF(MONTH(A35+3)=$W$3,A35+3,"")</f>
        <v/>
      </c>
      <c r="B38" s="290">
        <f>IF(A38="","",CHOOSE(WEEKDAY(A38),"日","月","火","水","木","金","土"))</f>
        <v/>
      </c>
      <c r="C38" s="663" t="n"/>
      <c r="D38" s="663" t="n"/>
      <c r="E38" s="663" t="n"/>
      <c r="F38" s="663" t="n"/>
      <c r="G38" s="663" t="n"/>
      <c r="H38" s="663" t="n"/>
      <c r="I38" s="683">
        <f>IF(C38="",0,((D38-C38)-(F38-E38)-(H38-G38))*24)</f>
        <v/>
      </c>
      <c r="J38" s="665" t="n"/>
      <c r="K38" s="666" t="n"/>
      <c r="L38" s="667" t="n"/>
      <c r="M38" s="667" t="n"/>
      <c r="N38" s="668">
        <f>IF(C38="",0,((K38-J38)-(L38+M38))*24)</f>
        <v/>
      </c>
      <c r="O38" s="684">
        <f>IF(BC38=0,"",BC38)</f>
        <v/>
      </c>
      <c r="P38" s="684">
        <f>IF(BD38=0,"",BD38)</f>
        <v/>
      </c>
      <c r="Q38" s="684">
        <f>IF(BL38=0,"",BL38)</f>
        <v/>
      </c>
      <c r="R38" s="684">
        <f>IF(BM38=0,"",BM38)</f>
        <v/>
      </c>
      <c r="S38" s="684">
        <f>IF(BN38=0,"",BN38)</f>
        <v/>
      </c>
      <c r="T38" s="670" t="n"/>
      <c r="U38" s="671" t="n"/>
      <c r="V38" s="672" t="n"/>
      <c r="W38" s="672" t="n"/>
      <c r="X38" s="672" t="n"/>
      <c r="Y38" s="672" t="n"/>
      <c r="Z38" s="672" t="n"/>
      <c r="AA38" s="673" t="n"/>
      <c r="BB38" s="280">
        <f>IF(U38="",J38&gt;0,FALSE)</f>
        <v/>
      </c>
      <c r="BC38" s="674">
        <f>IF(AND(C38&lt;&gt;"",J38="",T38&lt;&gt;"欠勤"),"★",IF(T38="欠勤","",(IF(C38&lt;J38,J38-C38,0)+IF(D38&gt;K38,D38-K38,0))*24))</f>
        <v/>
      </c>
      <c r="BD38" s="674">
        <f>IF(OR(AND(COUNTA(C38)&gt;1,COUNTA(J38:K38)=0,COUNTA(C37)&gt;1),T38="欠勤"),IF(I38&gt;8,I38,8),0)</f>
        <v/>
      </c>
      <c r="BE38" s="287">
        <f>IF(A38="",0,CEILING((DAY(A38)+7-WEEKDAY(A38))/7,1))</f>
        <v/>
      </c>
      <c r="BF38" s="65" t="n"/>
      <c r="BG38" s="65" t="n"/>
      <c r="BH38" s="65" t="n"/>
      <c r="BI38" s="65" t="n"/>
      <c r="BJ38" s="65" t="n"/>
      <c r="BK38" s="65" t="n"/>
      <c r="BL38" s="674">
        <f>IF($CC$5="≪シフト≫",0,IF(AND(BE38=1,B38="土"),$BI$8,IF(AND(BE38=2,B38="土"),$BI$9,IF(AND(BE38=3,B38="土"),$BI$10,IF(AND(BE38=4,B38="土"),$BI$11,IF(AND(BE38=5,B38="土"),$BI$12,IF(AND(BE38=6,B38="土"),$BI$13,0)))))))</f>
        <v/>
      </c>
      <c r="BM38" s="674">
        <f>IF($CC$5="≪通常≫",IF(N38&gt;8,N38-8,0),IF(N38&gt;I38,N38-I38,0))</f>
        <v/>
      </c>
      <c r="BN38" s="674">
        <f>SUMIF($BO$6:$BZ$6,1,$BO38:$BZ38)-(M38*24)</f>
        <v/>
      </c>
      <c r="BO38" s="675">
        <f>(IF(AND($J38&lt;$BP$7,$K38&gt;$BO$7),MIN($K38,$BP$7)-MAX($J38,$BO$7),0))*24</f>
        <v/>
      </c>
      <c r="BP38" s="679" t="n"/>
      <c r="BQ38" s="677">
        <f>(IF(AND($J38&lt;$BR$7,$K38&gt;$BQ$7),MIN($K38,$BR$7)-MAX($J38,$BQ$7),0))*24</f>
        <v/>
      </c>
      <c r="BR38" s="685" t="n"/>
      <c r="BS38" s="675">
        <f>(IF(AND($J38&lt;$BT$7,$K38&gt;$BS$7),MIN($K38,$BT$7)-MAX($J38,$BS$7),0))*24</f>
        <v/>
      </c>
      <c r="BT38" s="679" t="n"/>
      <c r="BU38" s="677">
        <f>(IF(AND($J38&lt;$BV$7,$K38&gt;$BU$7),MIN($K38,$BV$7)-MAX($J38,$BU$7),0))*24</f>
        <v/>
      </c>
      <c r="BV38" s="685" t="n"/>
      <c r="BW38" s="675">
        <f>(IF(AND($J38&lt;$BX$7,$K38&gt;$BW$7),MIN($K38,$BX$7)-MAX($J38,$BW$7),0))*24</f>
        <v/>
      </c>
      <c r="BX38" s="679" t="n"/>
      <c r="BY38" s="677">
        <f>(IF(AND($J38&lt;$BZ$7,$K38&gt;$BY$7),MIN($K38,$BZ$7)-MAX($J38,$BY$7),0))*24</f>
        <v/>
      </c>
      <c r="BZ38" s="685" t="n"/>
      <c r="CC38" s="287">
        <f>IF($A38="",0,WEEKDAY($A38))</f>
        <v/>
      </c>
      <c r="CD38" s="287">
        <f>IF($A38="",0,COUNTIF(祝日リスト!$B$2:$B$52,$A38))</f>
        <v/>
      </c>
      <c r="CE38" s="287">
        <f>IF($CC38=0,0,IF(OR($CC38=1,$CC38=7,$CD38=1),0,1))</f>
        <v/>
      </c>
    </row>
    <row r="39" ht="21" customHeight="1" s="643" thickBot="1">
      <c r="A39" s="686" t="inlineStr">
        <is>
          <t>合計</t>
        </is>
      </c>
      <c r="B39" s="687" t="n"/>
      <c r="C39" s="688" t="n"/>
      <c r="D39" s="688" t="n"/>
      <c r="E39" s="688" t="n"/>
      <c r="F39" s="688" t="n"/>
      <c r="G39" s="688" t="n"/>
      <c r="H39" s="688" t="n"/>
      <c r="I39" s="689">
        <f>SUM(I8:I38)</f>
        <v/>
      </c>
      <c r="J39" s="690" t="n"/>
      <c r="K39" s="690" t="n"/>
      <c r="L39" s="690">
        <f>SUM(L8:L38)</f>
        <v/>
      </c>
      <c r="M39" s="691">
        <f>SUM(M8:M38)</f>
        <v/>
      </c>
      <c r="N39" s="692">
        <f>SUM(N8:N38)</f>
        <v/>
      </c>
      <c r="O39" s="693">
        <f>SUM(O8:O38)</f>
        <v/>
      </c>
      <c r="P39" s="693">
        <f>SUM(P8:P38)</f>
        <v/>
      </c>
      <c r="Q39" s="693">
        <f>IF($CC$5="≪通常≫",SUM(BK8:BK13),IF((N39-R39)&gt;$CD$5,(N39-R39)-$CD$5,0))</f>
        <v/>
      </c>
      <c r="R39" s="693">
        <f>SUM(R8:R38)</f>
        <v/>
      </c>
      <c r="S39" s="693">
        <f>SUM(S8:S38)</f>
        <v/>
      </c>
      <c r="T39" s="694">
        <f>COUNTA($J$8:$J$38)+COUNTIF(T8:T38,"有給休暇")</f>
        <v/>
      </c>
      <c r="U39" s="695" t="n"/>
      <c r="V39" s="696" t="n"/>
      <c r="W39" s="696" t="n"/>
      <c r="X39" s="696" t="n"/>
      <c r="Y39" s="696" t="n"/>
      <c r="Z39" s="696" t="n"/>
      <c r="AA39" s="687" t="n"/>
      <c r="BO39" s="64" t="n"/>
      <c r="BP39" s="64" t="n"/>
      <c r="BQ39" s="64" t="n"/>
      <c r="BR39" s="64" t="n"/>
      <c r="BS39" s="64" t="n"/>
      <c r="BT39" s="64" t="n"/>
      <c r="BU39" s="64" t="n"/>
      <c r="BV39" s="64" t="n"/>
      <c r="BW39" s="64" t="n"/>
      <c r="BX39" s="64" t="n"/>
      <c r="BY39" s="64" t="n"/>
      <c r="BZ39" s="64" t="n"/>
    </row>
    <row r="40">
      <c r="A40" s="135" t="n"/>
      <c r="B40" s="135" t="n"/>
      <c r="C40" s="135" t="n"/>
      <c r="D40" s="135" t="n"/>
      <c r="E40" s="135" t="n"/>
      <c r="F40" s="135" t="n"/>
      <c r="G40" s="135" t="n"/>
      <c r="H40" s="135" t="n"/>
      <c r="I40" s="135" t="n"/>
      <c r="J40" s="135" t="n"/>
      <c r="K40" s="135" t="n"/>
      <c r="L40" s="135" t="n"/>
      <c r="M40" s="135" t="n"/>
      <c r="N40" s="135" t="n"/>
      <c r="O40" s="135" t="n"/>
      <c r="P40" s="135" t="n"/>
      <c r="Q40" s="135" t="n"/>
      <c r="R40" s="135" t="n"/>
      <c r="S40" s="135" t="n"/>
      <c r="T40" s="135" t="n"/>
      <c r="U40" s="135" t="n"/>
      <c r="V40" s="135" t="n"/>
      <c r="W40" s="135" t="n"/>
      <c r="X40" s="136" t="n"/>
      <c r="Y40" s="135" t="n"/>
      <c r="Z40" s="135" t="n"/>
      <c r="AA40" s="135" t="n"/>
    </row>
    <row r="43">
      <c r="A43" s="697" t="n"/>
    </row>
    <row r="195">
      <c r="A195" s="322" t="inlineStr">
        <is>
          <t>遅刻</t>
        </is>
      </c>
    </row>
    <row r="196">
      <c r="A196" s="322" t="inlineStr">
        <is>
          <t>早退</t>
        </is>
      </c>
    </row>
    <row r="197">
      <c r="A197" s="322" t="inlineStr">
        <is>
          <t>欠勤</t>
        </is>
      </c>
    </row>
    <row r="198">
      <c r="A198" s="322" t="inlineStr">
        <is>
          <t>遅刻・早退</t>
        </is>
      </c>
    </row>
    <row r="199">
      <c r="A199" s="322" t="inlineStr">
        <is>
          <t>休日出勤</t>
        </is>
      </c>
    </row>
    <row r="200">
      <c r="A200" s="322" t="inlineStr">
        <is>
          <t>振替休暇</t>
        </is>
      </c>
    </row>
    <row r="201">
      <c r="A201" s="322" t="inlineStr">
        <is>
          <t>有給休暇</t>
        </is>
      </c>
    </row>
    <row r="202">
      <c r="A202" s="322" t="inlineStr">
        <is>
          <t>慶弔休暇</t>
        </is>
      </c>
    </row>
  </sheetData>
  <sheetProtection selectLockedCells="0" selectUnlockedCells="0" sheet="1" objects="1" insertRows="1" insertHyperlinks="1" autoFilter="1" scenarios="1" formatColumns="1" deleteColumns="1" insertColumns="1" pivotTables="1" deleteRows="1" formatCells="1" formatRows="1" sort="1"/>
  <mergeCells count="54">
    <mergeCell ref="BY5:BZ5"/>
    <mergeCell ref="BO4:BS4"/>
    <mergeCell ref="BT4:BW4"/>
    <mergeCell ref="BX4:BZ4"/>
    <mergeCell ref="BW5:BX5"/>
    <mergeCell ref="BS5:BT5"/>
    <mergeCell ref="BO5:BP5"/>
    <mergeCell ref="BQ5:BR5"/>
    <mergeCell ref="BU5:BV5"/>
    <mergeCell ref="U37:AA37"/>
    <mergeCell ref="U38:AA38"/>
    <mergeCell ref="U39:AA39"/>
    <mergeCell ref="A39:B39"/>
    <mergeCell ref="S4:X4"/>
    <mergeCell ref="S5:X5"/>
    <mergeCell ref="U29:AA29"/>
    <mergeCell ref="U30:AA30"/>
    <mergeCell ref="U31:AA31"/>
    <mergeCell ref="U32:AA32"/>
    <mergeCell ref="U36:AA36"/>
    <mergeCell ref="U27:AA27"/>
    <mergeCell ref="U28:AA28"/>
    <mergeCell ref="U33:AA33"/>
    <mergeCell ref="U34:AA34"/>
    <mergeCell ref="U19:AA19"/>
    <mergeCell ref="A1:AA1"/>
    <mergeCell ref="U15:AA15"/>
    <mergeCell ref="U7:AA7"/>
    <mergeCell ref="U9:AA9"/>
    <mergeCell ref="U8:AA8"/>
    <mergeCell ref="U10:AA10"/>
    <mergeCell ref="U11:AA11"/>
    <mergeCell ref="Q5:R5"/>
    <mergeCell ref="U35:AA35"/>
    <mergeCell ref="B5:C5"/>
    <mergeCell ref="AB26:AC26"/>
    <mergeCell ref="AB27:AC27"/>
    <mergeCell ref="U22:AA22"/>
    <mergeCell ref="U25:AA25"/>
    <mergeCell ref="U24:AA24"/>
    <mergeCell ref="U23:AA23"/>
    <mergeCell ref="AD26:AE26"/>
    <mergeCell ref="AD27:AE27"/>
    <mergeCell ref="D4:M4"/>
    <mergeCell ref="U16:AA16"/>
    <mergeCell ref="U17:AA17"/>
    <mergeCell ref="U18:AA18"/>
    <mergeCell ref="D5:E5"/>
    <mergeCell ref="U26:AA26"/>
    <mergeCell ref="U12:AA12"/>
    <mergeCell ref="U13:AA13"/>
    <mergeCell ref="U14:AA14"/>
    <mergeCell ref="U20:AA20"/>
    <mergeCell ref="U21:AA21"/>
  </mergeCells>
  <conditionalFormatting sqref="S4:X5 D4:M4 W3 U3">
    <cfRule type="containsBlanks" priority="83" dxfId="4">
      <formula>LEN(TRIM(D3))=0</formula>
    </cfRule>
  </conditionalFormatting>
  <conditionalFormatting sqref="O8:O38">
    <cfRule type="cellIs" priority="72" operator="equal" dxfId="6">
      <formula>"★"</formula>
    </cfRule>
  </conditionalFormatting>
  <conditionalFormatting sqref="U8:AA38">
    <cfRule type="expression" priority="70" dxfId="6">
      <formula>AND($J8&lt;&gt;"",$U8="")</formula>
    </cfRule>
    <cfRule type="expression" priority="77" dxfId="6">
      <formula>AND($U8="",OR($T8="会社規定休",$T8="有給休暇",$T8="慶弔休暇",$T8="振替休暇"))</formula>
    </cfRule>
    <cfRule type="expression" priority="98" dxfId="6">
      <formula>$BB8=TRUE</formula>
    </cfRule>
    <cfRule type="expression" priority="42" dxfId="2">
      <formula>AND($T8&lt;&gt;"",$U8="")</formula>
    </cfRule>
  </conditionalFormatting>
  <conditionalFormatting sqref="U9:AA9">
    <cfRule type="expression" priority="66" dxfId="42">
      <formula>$A9=""</formula>
    </cfRule>
  </conditionalFormatting>
  <conditionalFormatting sqref="U10:AA10">
    <cfRule type="expression" priority="62" dxfId="42">
      <formula>$A10=""</formula>
    </cfRule>
    <cfRule type="expression" priority="64" dxfId="29">
      <formula>WEEKDAY($A10)=7</formula>
    </cfRule>
    <cfRule type="expression" priority="65" dxfId="28">
      <formula>WEEKDAY($A10)=1</formula>
    </cfRule>
  </conditionalFormatting>
  <conditionalFormatting sqref="U21:AA21">
    <cfRule type="expression" priority="58" dxfId="42">
      <formula>$A21=""</formula>
    </cfRule>
    <cfRule type="expression" priority="60" dxfId="29">
      <formula>WEEKDAY($A21)=7</formula>
    </cfRule>
    <cfRule type="expression" priority="61" dxfId="28">
      <formula>WEEKDAY($A21)=1</formula>
    </cfRule>
  </conditionalFormatting>
  <conditionalFormatting sqref="U30:AA30">
    <cfRule type="expression" priority="53" dxfId="42">
      <formula>$A30=""</formula>
    </cfRule>
    <cfRule type="expression" priority="56" dxfId="29">
      <formula>WEEKDAY($A30)=7</formula>
    </cfRule>
    <cfRule type="expression" priority="57" dxfId="28">
      <formula>WEEKDAY($A30)=1</formula>
    </cfRule>
  </conditionalFormatting>
  <conditionalFormatting sqref="U18">
    <cfRule type="expression" priority="50" dxfId="29">
      <formula>WEEKDAY($A18)=7</formula>
    </cfRule>
    <cfRule type="expression" priority="52" dxfId="28">
      <formula>WEEKDAY($A18)=1</formula>
    </cfRule>
  </conditionalFormatting>
  <conditionalFormatting sqref="A8:AA19 A21:AA38 A20:I20 M20:AA20">
    <cfRule type="expression" priority="49" dxfId="29">
      <formula>WEEKDAY($A8)=7</formula>
    </cfRule>
    <cfRule type="expression" priority="78" dxfId="28">
      <formula>WEEKDAY($A8)=1</formula>
    </cfRule>
    <cfRule type="expression" priority="99" dxfId="14">
      <formula>$A8=""</formula>
    </cfRule>
  </conditionalFormatting>
  <conditionalFormatting sqref="C8:D38">
    <cfRule type="expression" priority="33" dxfId="6">
      <formula>IF(AND($J8&lt;&gt;"",$C8=""),"TURE","FALSE")="TURE"</formula>
    </cfRule>
    <cfRule type="expression" priority="47" dxfId="2">
      <formula>AND(OR($T8="有給休暇（半日）",$T8="振替休暇（半日）"),$J8:$K8="")</formula>
    </cfRule>
  </conditionalFormatting>
  <conditionalFormatting sqref="J8:K19 J21:K38">
    <cfRule type="expression" priority="46" dxfId="6">
      <formula>AND(OR($T8="有給休暇（半日）",$T8="振替休暇（半日）"),$J8:$K8="")</formula>
    </cfRule>
  </conditionalFormatting>
  <conditionalFormatting sqref="U28:AA28">
    <cfRule type="expression" priority="43" dxfId="42">
      <formula>$A28=""</formula>
    </cfRule>
    <cfRule type="expression" priority="44" dxfId="29">
      <formula>WEEKDAY($A28)=7</formula>
    </cfRule>
    <cfRule type="expression" priority="45" dxfId="28">
      <formula>WEEKDAY($A28)=1</formula>
    </cfRule>
  </conditionalFormatting>
  <conditionalFormatting sqref="T8:T38">
    <cfRule type="expression" priority="39" dxfId="6">
      <formula>AND($T8="",OR($P8&lt;&gt;"",$O8&lt;&gt;""))</formula>
    </cfRule>
  </conditionalFormatting>
  <conditionalFormatting sqref="U18:AA18">
    <cfRule type="expression" priority="36" dxfId="6">
      <formula>AND($J18&lt;&gt;"",$U18="")</formula>
    </cfRule>
    <cfRule type="expression" priority="37" dxfId="6">
      <formula>AND($U18="",OR($T18="会社規定休",$T18="有給休暇",$T18="慶弔休暇",$T18="振替休暇"))</formula>
    </cfRule>
    <cfRule type="expression" priority="38" dxfId="6">
      <formula>$BB18=TRUE</formula>
    </cfRule>
  </conditionalFormatting>
  <conditionalFormatting sqref="F8:F38">
    <cfRule type="cellIs" priority="29" operator="lessThan" dxfId="6">
      <formula>$E8</formula>
    </cfRule>
  </conditionalFormatting>
  <conditionalFormatting sqref="M8:M38">
    <cfRule type="expression" priority="22" dxfId="34">
      <formula>IF(AND(OR(AND($E8&gt;=0.916666666666667,1.20832175925926&gt;=$E8),AND($G8&gt;=0.916666666666667,1.20832175925926&gt;=$G8)),M8=""),"TRUE","FALSE")="TRUE"</formula>
    </cfRule>
  </conditionalFormatting>
  <conditionalFormatting sqref="E8:E38">
    <cfRule type="expression" priority="19" dxfId="32">
      <formula>AND($E8&gt;=0.916666666666667,1.20832175925926&gt;=$E8,$M8="")</formula>
    </cfRule>
  </conditionalFormatting>
  <conditionalFormatting sqref="G8:G38">
    <cfRule type="expression" priority="18" dxfId="32">
      <formula>AND($G8&gt;=0.916666666666667,1.20832175925926&gt;=$G8,$M8="")</formula>
    </cfRule>
  </conditionalFormatting>
  <conditionalFormatting sqref="C8:H38">
    <cfRule type="expression" priority="13" dxfId="6">
      <formula>IF(AND($T8="振替休暇",$C8&lt;&gt;""),"TRUE","FALSE")="TRUE"</formula>
    </cfRule>
    <cfRule type="expression" priority="14" dxfId="6">
      <formula>IF(AND(OR($T8="会社規定休",$T8="有給休暇"),$C8&lt;&gt;""),"TRUE","FALSE")="TRUE"</formula>
    </cfRule>
  </conditionalFormatting>
  <conditionalFormatting sqref="J20:L20">
    <cfRule type="expression" priority="10" dxfId="29">
      <formula>WEEKDAY($A20)=7</formula>
    </cfRule>
    <cfRule type="expression" priority="11" dxfId="28">
      <formula>WEEKDAY($A20)=1</formula>
    </cfRule>
    <cfRule type="expression" priority="12" dxfId="14">
      <formula>$A20=""</formula>
    </cfRule>
  </conditionalFormatting>
  <conditionalFormatting sqref="J20:K20">
    <cfRule type="expression" priority="9" dxfId="6">
      <formula>AND(OR($T20="有給休暇（半日）",$T20="振替休暇（半日）"),$J20:$K20="")</formula>
    </cfRule>
    <cfRule type="expression" priority="7" dxfId="6">
      <formula>IF(AND($J20&lt;&gt;"",$C20=""),"TURE","FALSE")="TURE"</formula>
    </cfRule>
    <cfRule type="expression" priority="8" dxfId="2">
      <formula>AND(OR($T20="有給休暇（半日）",$T20="振替休暇（半日）"),$J20:$K20="")</formula>
    </cfRule>
    <cfRule type="expression" priority="5" dxfId="6">
      <formula>IF(AND($T20="振替休暇",$C20&lt;&gt;""),"TRUE","FALSE")="TRUE"</formula>
    </cfRule>
    <cfRule type="expression" priority="6" dxfId="6">
      <formula>IF(AND(OR($T20="会社規定休",$T20="有給休暇"),$C20&lt;&gt;""),"TRUE","FALSE")="TRUE"</formula>
    </cfRule>
    <cfRule type="expression" priority="3" dxfId="6">
      <formula>IF(AND($J20&lt;&gt;"",$C20=""),"TURE","FALSE")="TURE"</formula>
    </cfRule>
    <cfRule type="expression" priority="4" dxfId="2">
      <formula>AND(OR($T20="有給休暇（半日）",$T20="振替休暇（半日）"),$J20:$K20="")</formula>
    </cfRule>
    <cfRule type="expression" priority="1" dxfId="6">
      <formula>IF(AND($T20="振替休暇",$C20&lt;&gt;""),"TRUE","FALSE")="TRUE"</formula>
    </cfRule>
    <cfRule type="expression" priority="2" dxfId="6">
      <formula>IF(AND(OR($T20="会社規定休",$T20="有給休暇"),$C20&lt;&gt;""),"TRUE","FALSE")="TRUE"</formula>
    </cfRule>
  </conditionalFormatting>
  <dataValidations count="3">
    <dataValidation sqref="T8:T38" showErrorMessage="1" showInputMessage="1" allowBlank="0" type="list">
      <formula1>$CA$8:$CA$19</formula1>
    </dataValidation>
    <dataValidation sqref="AC3:AF3" showErrorMessage="1" showInputMessage="1" allowBlank="0" type="list">
      <formula1>"月,火,水,木,金,土,日,祝"</formula1>
    </dataValidation>
    <dataValidation sqref="D5:E5" showErrorMessage="1" showInputMessage="1" allowBlank="0" type="list">
      <formula1>"≪通常≫,≪シフト（夜勤有）≫,≪シフト（夜勤無）≫"</formula1>
    </dataValidation>
  </dataValidations>
  <printOptions horizontalCentered="1" verticalCentered="1"/>
  <pageMargins left="0.5905511811023623" right="0.5905511811023623" top="0.5905511811023623" bottom="0.5905511811023623" header="0.5118110236220472" footer="0.5118110236220472"/>
  <pageSetup orientation="landscape" paperSize="9" scale="60" fitToHeight="0" blackAndWhite="1"/>
</worksheet>
</file>

<file path=xl/worksheets/sheet4.xml><?xml version="1.0" encoding="utf-8"?>
<worksheet xmlns:r="http://schemas.openxmlformats.org/officeDocument/2006/relationships" xmlns="http://schemas.openxmlformats.org/spreadsheetml/2006/main">
  <sheetPr codeName="Sheet4">
    <outlinePr summaryBelow="1" summaryRight="1"/>
    <pageSetUpPr fitToPage="1"/>
  </sheetPr>
  <dimension ref="A1:Z272"/>
  <sheetViews>
    <sheetView view="pageBreakPreview" topLeftCell="A8" zoomScale="75" zoomScaleNormal="60" zoomScaleSheetLayoutView="90" workbookViewId="0">
      <selection activeCell="B26" sqref="B26"/>
    </sheetView>
  </sheetViews>
  <sheetFormatPr baseColWidth="8" defaultRowHeight="13.5"/>
  <cols>
    <col width="0.5" customWidth="1" style="93" min="1" max="1"/>
    <col width="18.75" customWidth="1" style="93" min="2" max="2"/>
    <col width="23.5" bestFit="1" customWidth="1" style="93" min="3" max="3"/>
    <col width="7.375" customWidth="1" style="423" min="4" max="4"/>
    <col width="7.375" customWidth="1" style="93" min="5" max="6"/>
    <col width="2.375" customWidth="1" style="93" min="7" max="7"/>
    <col width="25.75" bestFit="1" customWidth="1" style="440" min="8" max="8"/>
    <col width="23.5" bestFit="1" customWidth="1" style="93" min="9" max="9"/>
    <col width="11.5" customWidth="1" style="93" min="10" max="12"/>
    <col width="1.5" customWidth="1" style="93" min="13" max="17"/>
    <col width="9" customWidth="1" style="93" min="18" max="18"/>
    <col width="14.875" customWidth="1" style="93" min="19" max="19"/>
    <col width="25.375" bestFit="1" customWidth="1" style="93" min="20" max="20"/>
    <col width="9" customWidth="1" style="93" min="21" max="22"/>
    <col width="9" customWidth="1" style="93" min="24" max="25"/>
    <col width="9" customWidth="1" style="93" min="26" max="47"/>
    <col width="9" customWidth="1" style="93" min="52" max="252"/>
    <col width="2.25" customWidth="1" style="93" min="253" max="253"/>
    <col width="11.75" customWidth="1" style="93" min="254" max="255"/>
    <col width="10.5" customWidth="1" style="93" min="256" max="256"/>
    <col width="4.5" customWidth="1" style="93" min="257" max="257"/>
    <col width="3" customWidth="1" style="93" min="258" max="258"/>
    <col width="4.5" customWidth="1" style="93" min="259" max="259"/>
    <col width="3.25" customWidth="1" style="93" min="260" max="260"/>
    <col width="4.5" customWidth="1" style="93" min="261" max="261"/>
    <col width="4.875" customWidth="1" style="93" min="262" max="262"/>
    <col width="9" customWidth="1" style="93" min="263" max="263"/>
    <col width="4.75" customWidth="1" style="93" min="264" max="264"/>
    <col width="4" customWidth="1" style="93" min="265" max="267"/>
    <col width="3.375" customWidth="1" style="93" min="268" max="268"/>
    <col width="3.625" customWidth="1" style="93" min="269" max="269"/>
    <col width="3.875" customWidth="1" style="93" min="270" max="270"/>
    <col width="10.875" customWidth="1" style="93" min="271" max="271"/>
    <col width="9" customWidth="1" style="93" min="272" max="508"/>
    <col width="2.25" customWidth="1" style="93" min="509" max="509"/>
    <col width="11.75" customWidth="1" style="93" min="510" max="511"/>
    <col width="10.5" customWidth="1" style="93" min="512" max="512"/>
    <col width="4.5" customWidth="1" style="93" min="513" max="513"/>
    <col width="3" customWidth="1" style="93" min="514" max="514"/>
    <col width="4.5" customWidth="1" style="93" min="515" max="515"/>
    <col width="3.25" customWidth="1" style="93" min="516" max="516"/>
    <col width="4.5" customWidth="1" style="93" min="517" max="517"/>
    <col width="4.875" customWidth="1" style="93" min="518" max="518"/>
    <col width="9" customWidth="1" style="93" min="519" max="519"/>
    <col width="4.75" customWidth="1" style="93" min="520" max="520"/>
    <col width="4" customWidth="1" style="93" min="521" max="523"/>
    <col width="3.375" customWidth="1" style="93" min="524" max="524"/>
    <col width="3.625" customWidth="1" style="93" min="525" max="525"/>
    <col width="3.875" customWidth="1" style="93" min="526" max="526"/>
    <col width="10.875" customWidth="1" style="93" min="527" max="527"/>
    <col width="9" customWidth="1" style="93" min="528" max="764"/>
    <col width="2.25" customWidth="1" style="93" min="765" max="765"/>
    <col width="11.75" customWidth="1" style="93" min="766" max="767"/>
    <col width="10.5" customWidth="1" style="93" min="768" max="768"/>
    <col width="4.5" customWidth="1" style="93" min="769" max="769"/>
    <col width="3" customWidth="1" style="93" min="770" max="770"/>
    <col width="4.5" customWidth="1" style="93" min="771" max="771"/>
    <col width="3.25" customWidth="1" style="93" min="772" max="772"/>
    <col width="4.5" customWidth="1" style="93" min="773" max="773"/>
    <col width="4.875" customWidth="1" style="93" min="774" max="774"/>
    <col width="9" customWidth="1" style="93" min="775" max="775"/>
    <col width="4.75" customWidth="1" style="93" min="776" max="776"/>
    <col width="4" customWidth="1" style="93" min="777" max="779"/>
    <col width="3.375" customWidth="1" style="93" min="780" max="780"/>
    <col width="3.625" customWidth="1" style="93" min="781" max="781"/>
    <col width="3.875" customWidth="1" style="93" min="782" max="782"/>
    <col width="10.875" customWidth="1" style="93" min="783" max="783"/>
    <col width="9" customWidth="1" style="93" min="784" max="1020"/>
    <col width="2.25" customWidth="1" style="93" min="1021" max="1021"/>
    <col width="11.75" customWidth="1" style="93" min="1022" max="1023"/>
    <col width="10.5" customWidth="1" style="93" min="1024" max="1024"/>
    <col width="4.5" customWidth="1" style="93" min="1025" max="1025"/>
    <col width="3" customWidth="1" style="93" min="1026" max="1026"/>
    <col width="4.5" customWidth="1" style="93" min="1027" max="1027"/>
    <col width="3.25" customWidth="1" style="93" min="1028" max="1028"/>
    <col width="4.5" customWidth="1" style="93" min="1029" max="1029"/>
    <col width="4.875" customWidth="1" style="93" min="1030" max="1030"/>
    <col width="9" customWidth="1" style="93" min="1031" max="1031"/>
    <col width="4.75" customWidth="1" style="93" min="1032" max="1032"/>
    <col width="4" customWidth="1" style="93" min="1033" max="1035"/>
    <col width="3.375" customWidth="1" style="93" min="1036" max="1036"/>
    <col width="3.625" customWidth="1" style="93" min="1037" max="1037"/>
    <col width="3.875" customWidth="1" style="93" min="1038" max="1038"/>
    <col width="10.875" customWidth="1" style="93" min="1039" max="1039"/>
    <col width="9" customWidth="1" style="93" min="1040" max="1276"/>
    <col width="2.25" customWidth="1" style="93" min="1277" max="1277"/>
    <col width="11.75" customWidth="1" style="93" min="1278" max="1279"/>
    <col width="10.5" customWidth="1" style="93" min="1280" max="1280"/>
    <col width="4.5" customWidth="1" style="93" min="1281" max="1281"/>
    <col width="3" customWidth="1" style="93" min="1282" max="1282"/>
    <col width="4.5" customWidth="1" style="93" min="1283" max="1283"/>
    <col width="3.25" customWidth="1" style="93" min="1284" max="1284"/>
    <col width="4.5" customWidth="1" style="93" min="1285" max="1285"/>
    <col width="4.875" customWidth="1" style="93" min="1286" max="1286"/>
    <col width="9" customWidth="1" style="93" min="1287" max="1287"/>
    <col width="4.75" customWidth="1" style="93" min="1288" max="1288"/>
    <col width="4" customWidth="1" style="93" min="1289" max="1291"/>
    <col width="3.375" customWidth="1" style="93" min="1292" max="1292"/>
    <col width="3.625" customWidth="1" style="93" min="1293" max="1293"/>
    <col width="3.875" customWidth="1" style="93" min="1294" max="1294"/>
    <col width="10.875" customWidth="1" style="93" min="1295" max="1295"/>
    <col width="9" customWidth="1" style="93" min="1296" max="1532"/>
    <col width="2.25" customWidth="1" style="93" min="1533" max="1533"/>
    <col width="11.75" customWidth="1" style="93" min="1534" max="1535"/>
    <col width="10.5" customWidth="1" style="93" min="1536" max="1536"/>
    <col width="4.5" customWidth="1" style="93" min="1537" max="1537"/>
    <col width="3" customWidth="1" style="93" min="1538" max="1538"/>
    <col width="4.5" customWidth="1" style="93" min="1539" max="1539"/>
    <col width="3.25" customWidth="1" style="93" min="1540" max="1540"/>
    <col width="4.5" customWidth="1" style="93" min="1541" max="1541"/>
    <col width="4.875" customWidth="1" style="93" min="1542" max="1542"/>
    <col width="9" customWidth="1" style="93" min="1543" max="1543"/>
    <col width="4.75" customWidth="1" style="93" min="1544" max="1544"/>
    <col width="4" customWidth="1" style="93" min="1545" max="1547"/>
    <col width="3.375" customWidth="1" style="93" min="1548" max="1548"/>
    <col width="3.625" customWidth="1" style="93" min="1549" max="1549"/>
    <col width="3.875" customWidth="1" style="93" min="1550" max="1550"/>
    <col width="10.875" customWidth="1" style="93" min="1551" max="1551"/>
    <col width="9" customWidth="1" style="93" min="1552" max="1788"/>
    <col width="2.25" customWidth="1" style="93" min="1789" max="1789"/>
    <col width="11.75" customWidth="1" style="93" min="1790" max="1791"/>
    <col width="10.5" customWidth="1" style="93" min="1792" max="1792"/>
    <col width="4.5" customWidth="1" style="93" min="1793" max="1793"/>
    <col width="3" customWidth="1" style="93" min="1794" max="1794"/>
    <col width="4.5" customWidth="1" style="93" min="1795" max="1795"/>
    <col width="3.25" customWidth="1" style="93" min="1796" max="1796"/>
    <col width="4.5" customWidth="1" style="93" min="1797" max="1797"/>
    <col width="4.875" customWidth="1" style="93" min="1798" max="1798"/>
    <col width="9" customWidth="1" style="93" min="1799" max="1799"/>
    <col width="4.75" customWidth="1" style="93" min="1800" max="1800"/>
    <col width="4" customWidth="1" style="93" min="1801" max="1803"/>
    <col width="3.375" customWidth="1" style="93" min="1804" max="1804"/>
    <col width="3.625" customWidth="1" style="93" min="1805" max="1805"/>
    <col width="3.875" customWidth="1" style="93" min="1806" max="1806"/>
    <col width="10.875" customWidth="1" style="93" min="1807" max="1807"/>
    <col width="9" customWidth="1" style="93" min="1808" max="2044"/>
    <col width="2.25" customWidth="1" style="93" min="2045" max="2045"/>
    <col width="11.75" customWidth="1" style="93" min="2046" max="2047"/>
    <col width="10.5" customWidth="1" style="93" min="2048" max="2048"/>
    <col width="4.5" customWidth="1" style="93" min="2049" max="2049"/>
    <col width="3" customWidth="1" style="93" min="2050" max="2050"/>
    <col width="4.5" customWidth="1" style="93" min="2051" max="2051"/>
    <col width="3.25" customWidth="1" style="93" min="2052" max="2052"/>
    <col width="4.5" customWidth="1" style="93" min="2053" max="2053"/>
    <col width="4.875" customWidth="1" style="93" min="2054" max="2054"/>
    <col width="9" customWidth="1" style="93" min="2055" max="2055"/>
    <col width="4.75" customWidth="1" style="93" min="2056" max="2056"/>
    <col width="4" customWidth="1" style="93" min="2057" max="2059"/>
    <col width="3.375" customWidth="1" style="93" min="2060" max="2060"/>
    <col width="3.625" customWidth="1" style="93" min="2061" max="2061"/>
    <col width="3.875" customWidth="1" style="93" min="2062" max="2062"/>
    <col width="10.875" customWidth="1" style="93" min="2063" max="2063"/>
    <col width="9" customWidth="1" style="93" min="2064" max="2300"/>
    <col width="2.25" customWidth="1" style="93" min="2301" max="2301"/>
    <col width="11.75" customWidth="1" style="93" min="2302" max="2303"/>
    <col width="10.5" customWidth="1" style="93" min="2304" max="2304"/>
    <col width="4.5" customWidth="1" style="93" min="2305" max="2305"/>
    <col width="3" customWidth="1" style="93" min="2306" max="2306"/>
    <col width="4.5" customWidth="1" style="93" min="2307" max="2307"/>
    <col width="3.25" customWidth="1" style="93" min="2308" max="2308"/>
    <col width="4.5" customWidth="1" style="93" min="2309" max="2309"/>
    <col width="4.875" customWidth="1" style="93" min="2310" max="2310"/>
    <col width="9" customWidth="1" style="93" min="2311" max="2311"/>
    <col width="4.75" customWidth="1" style="93" min="2312" max="2312"/>
    <col width="4" customWidth="1" style="93" min="2313" max="2315"/>
    <col width="3.375" customWidth="1" style="93" min="2316" max="2316"/>
    <col width="3.625" customWidth="1" style="93" min="2317" max="2317"/>
    <col width="3.875" customWidth="1" style="93" min="2318" max="2318"/>
    <col width="10.875" customWidth="1" style="93" min="2319" max="2319"/>
    <col width="9" customWidth="1" style="93" min="2320" max="2556"/>
    <col width="2.25" customWidth="1" style="93" min="2557" max="2557"/>
    <col width="11.75" customWidth="1" style="93" min="2558" max="2559"/>
    <col width="10.5" customWidth="1" style="93" min="2560" max="2560"/>
    <col width="4.5" customWidth="1" style="93" min="2561" max="2561"/>
    <col width="3" customWidth="1" style="93" min="2562" max="2562"/>
    <col width="4.5" customWidth="1" style="93" min="2563" max="2563"/>
    <col width="3.25" customWidth="1" style="93" min="2564" max="2564"/>
    <col width="4.5" customWidth="1" style="93" min="2565" max="2565"/>
    <col width="4.875" customWidth="1" style="93" min="2566" max="2566"/>
    <col width="9" customWidth="1" style="93" min="2567" max="2567"/>
    <col width="4.75" customWidth="1" style="93" min="2568" max="2568"/>
    <col width="4" customWidth="1" style="93" min="2569" max="2571"/>
    <col width="3.375" customWidth="1" style="93" min="2572" max="2572"/>
    <col width="3.625" customWidth="1" style="93" min="2573" max="2573"/>
    <col width="3.875" customWidth="1" style="93" min="2574" max="2574"/>
    <col width="10.875" customWidth="1" style="93" min="2575" max="2575"/>
    <col width="9" customWidth="1" style="93" min="2576" max="2812"/>
    <col width="2.25" customWidth="1" style="93" min="2813" max="2813"/>
    <col width="11.75" customWidth="1" style="93" min="2814" max="2815"/>
    <col width="10.5" customWidth="1" style="93" min="2816" max="2816"/>
    <col width="4.5" customWidth="1" style="93" min="2817" max="2817"/>
    <col width="3" customWidth="1" style="93" min="2818" max="2818"/>
    <col width="4.5" customWidth="1" style="93" min="2819" max="2819"/>
    <col width="3.25" customWidth="1" style="93" min="2820" max="2820"/>
    <col width="4.5" customWidth="1" style="93" min="2821" max="2821"/>
    <col width="4.875" customWidth="1" style="93" min="2822" max="2822"/>
    <col width="9" customWidth="1" style="93" min="2823" max="2823"/>
    <col width="4.75" customWidth="1" style="93" min="2824" max="2824"/>
    <col width="4" customWidth="1" style="93" min="2825" max="2827"/>
    <col width="3.375" customWidth="1" style="93" min="2828" max="2828"/>
    <col width="3.625" customWidth="1" style="93" min="2829" max="2829"/>
    <col width="3.875" customWidth="1" style="93" min="2830" max="2830"/>
    <col width="10.875" customWidth="1" style="93" min="2831" max="2831"/>
    <col width="9" customWidth="1" style="93" min="2832" max="3068"/>
    <col width="2.25" customWidth="1" style="93" min="3069" max="3069"/>
    <col width="11.75" customWidth="1" style="93" min="3070" max="3071"/>
    <col width="10.5" customWidth="1" style="93" min="3072" max="3072"/>
    <col width="4.5" customWidth="1" style="93" min="3073" max="3073"/>
    <col width="3" customWidth="1" style="93" min="3074" max="3074"/>
    <col width="4.5" customWidth="1" style="93" min="3075" max="3075"/>
    <col width="3.25" customWidth="1" style="93" min="3076" max="3076"/>
    <col width="4.5" customWidth="1" style="93" min="3077" max="3077"/>
    <col width="4.875" customWidth="1" style="93" min="3078" max="3078"/>
    <col width="9" customWidth="1" style="93" min="3079" max="3079"/>
    <col width="4.75" customWidth="1" style="93" min="3080" max="3080"/>
    <col width="4" customWidth="1" style="93" min="3081" max="3083"/>
    <col width="3.375" customWidth="1" style="93" min="3084" max="3084"/>
    <col width="3.625" customWidth="1" style="93" min="3085" max="3085"/>
    <col width="3.875" customWidth="1" style="93" min="3086" max="3086"/>
    <col width="10.875" customWidth="1" style="93" min="3087" max="3087"/>
    <col width="9" customWidth="1" style="93" min="3088" max="3324"/>
    <col width="2.25" customWidth="1" style="93" min="3325" max="3325"/>
    <col width="11.75" customWidth="1" style="93" min="3326" max="3327"/>
    <col width="10.5" customWidth="1" style="93" min="3328" max="3328"/>
    <col width="4.5" customWidth="1" style="93" min="3329" max="3329"/>
    <col width="3" customWidth="1" style="93" min="3330" max="3330"/>
    <col width="4.5" customWidth="1" style="93" min="3331" max="3331"/>
    <col width="3.25" customWidth="1" style="93" min="3332" max="3332"/>
    <col width="4.5" customWidth="1" style="93" min="3333" max="3333"/>
    <col width="4.875" customWidth="1" style="93" min="3334" max="3334"/>
    <col width="9" customWidth="1" style="93" min="3335" max="3335"/>
    <col width="4.75" customWidth="1" style="93" min="3336" max="3336"/>
    <col width="4" customWidth="1" style="93" min="3337" max="3339"/>
    <col width="3.375" customWidth="1" style="93" min="3340" max="3340"/>
    <col width="3.625" customWidth="1" style="93" min="3341" max="3341"/>
    <col width="3.875" customWidth="1" style="93" min="3342" max="3342"/>
    <col width="10.875" customWidth="1" style="93" min="3343" max="3343"/>
    <col width="9" customWidth="1" style="93" min="3344" max="3580"/>
    <col width="2.25" customWidth="1" style="93" min="3581" max="3581"/>
    <col width="11.75" customWidth="1" style="93" min="3582" max="3583"/>
    <col width="10.5" customWidth="1" style="93" min="3584" max="3584"/>
    <col width="4.5" customWidth="1" style="93" min="3585" max="3585"/>
    <col width="3" customWidth="1" style="93" min="3586" max="3586"/>
    <col width="4.5" customWidth="1" style="93" min="3587" max="3587"/>
    <col width="3.25" customWidth="1" style="93" min="3588" max="3588"/>
    <col width="4.5" customWidth="1" style="93" min="3589" max="3589"/>
    <col width="4.875" customWidth="1" style="93" min="3590" max="3590"/>
    <col width="9" customWidth="1" style="93" min="3591" max="3591"/>
    <col width="4.75" customWidth="1" style="93" min="3592" max="3592"/>
    <col width="4" customWidth="1" style="93" min="3593" max="3595"/>
    <col width="3.375" customWidth="1" style="93" min="3596" max="3596"/>
    <col width="3.625" customWidth="1" style="93" min="3597" max="3597"/>
    <col width="3.875" customWidth="1" style="93" min="3598" max="3598"/>
    <col width="10.875" customWidth="1" style="93" min="3599" max="3599"/>
    <col width="9" customWidth="1" style="93" min="3600" max="3836"/>
    <col width="2.25" customWidth="1" style="93" min="3837" max="3837"/>
    <col width="11.75" customWidth="1" style="93" min="3838" max="3839"/>
    <col width="10.5" customWidth="1" style="93" min="3840" max="3840"/>
    <col width="4.5" customWidth="1" style="93" min="3841" max="3841"/>
    <col width="3" customWidth="1" style="93" min="3842" max="3842"/>
    <col width="4.5" customWidth="1" style="93" min="3843" max="3843"/>
    <col width="3.25" customWidth="1" style="93" min="3844" max="3844"/>
    <col width="4.5" customWidth="1" style="93" min="3845" max="3845"/>
    <col width="4.875" customWidth="1" style="93" min="3846" max="3846"/>
    <col width="9" customWidth="1" style="93" min="3847" max="3847"/>
    <col width="4.75" customWidth="1" style="93" min="3848" max="3848"/>
    <col width="4" customWidth="1" style="93" min="3849" max="3851"/>
    <col width="3.375" customWidth="1" style="93" min="3852" max="3852"/>
    <col width="3.625" customWidth="1" style="93" min="3853" max="3853"/>
    <col width="3.875" customWidth="1" style="93" min="3854" max="3854"/>
    <col width="10.875" customWidth="1" style="93" min="3855" max="3855"/>
    <col width="9" customWidth="1" style="93" min="3856" max="4092"/>
    <col width="2.25" customWidth="1" style="93" min="4093" max="4093"/>
    <col width="11.75" customWidth="1" style="93" min="4094" max="4095"/>
    <col width="10.5" customWidth="1" style="93" min="4096" max="4096"/>
    <col width="4.5" customWidth="1" style="93" min="4097" max="4097"/>
    <col width="3" customWidth="1" style="93" min="4098" max="4098"/>
    <col width="4.5" customWidth="1" style="93" min="4099" max="4099"/>
    <col width="3.25" customWidth="1" style="93" min="4100" max="4100"/>
    <col width="4.5" customWidth="1" style="93" min="4101" max="4101"/>
    <col width="4.875" customWidth="1" style="93" min="4102" max="4102"/>
    <col width="9" customWidth="1" style="93" min="4103" max="4103"/>
    <col width="4.75" customWidth="1" style="93" min="4104" max="4104"/>
    <col width="4" customWidth="1" style="93" min="4105" max="4107"/>
    <col width="3.375" customWidth="1" style="93" min="4108" max="4108"/>
    <col width="3.625" customWidth="1" style="93" min="4109" max="4109"/>
    <col width="3.875" customWidth="1" style="93" min="4110" max="4110"/>
    <col width="10.875" customWidth="1" style="93" min="4111" max="4111"/>
    <col width="9" customWidth="1" style="93" min="4112" max="4348"/>
    <col width="2.25" customWidth="1" style="93" min="4349" max="4349"/>
    <col width="11.75" customWidth="1" style="93" min="4350" max="4351"/>
    <col width="10.5" customWidth="1" style="93" min="4352" max="4352"/>
    <col width="4.5" customWidth="1" style="93" min="4353" max="4353"/>
    <col width="3" customWidth="1" style="93" min="4354" max="4354"/>
    <col width="4.5" customWidth="1" style="93" min="4355" max="4355"/>
    <col width="3.25" customWidth="1" style="93" min="4356" max="4356"/>
    <col width="4.5" customWidth="1" style="93" min="4357" max="4357"/>
    <col width="4.875" customWidth="1" style="93" min="4358" max="4358"/>
    <col width="9" customWidth="1" style="93" min="4359" max="4359"/>
    <col width="4.75" customWidth="1" style="93" min="4360" max="4360"/>
    <col width="4" customWidth="1" style="93" min="4361" max="4363"/>
    <col width="3.375" customWidth="1" style="93" min="4364" max="4364"/>
    <col width="3.625" customWidth="1" style="93" min="4365" max="4365"/>
    <col width="3.875" customWidth="1" style="93" min="4366" max="4366"/>
    <col width="10.875" customWidth="1" style="93" min="4367" max="4367"/>
    <col width="9" customWidth="1" style="93" min="4368" max="4604"/>
    <col width="2.25" customWidth="1" style="93" min="4605" max="4605"/>
    <col width="11.75" customWidth="1" style="93" min="4606" max="4607"/>
    <col width="10.5" customWidth="1" style="93" min="4608" max="4608"/>
    <col width="4.5" customWidth="1" style="93" min="4609" max="4609"/>
    <col width="3" customWidth="1" style="93" min="4610" max="4610"/>
    <col width="4.5" customWidth="1" style="93" min="4611" max="4611"/>
    <col width="3.25" customWidth="1" style="93" min="4612" max="4612"/>
    <col width="4.5" customWidth="1" style="93" min="4613" max="4613"/>
    <col width="4.875" customWidth="1" style="93" min="4614" max="4614"/>
    <col width="9" customWidth="1" style="93" min="4615" max="4615"/>
    <col width="4.75" customWidth="1" style="93" min="4616" max="4616"/>
    <col width="4" customWidth="1" style="93" min="4617" max="4619"/>
    <col width="3.375" customWidth="1" style="93" min="4620" max="4620"/>
    <col width="3.625" customWidth="1" style="93" min="4621" max="4621"/>
    <col width="3.875" customWidth="1" style="93" min="4622" max="4622"/>
    <col width="10.875" customWidth="1" style="93" min="4623" max="4623"/>
    <col width="9" customWidth="1" style="93" min="4624" max="4860"/>
    <col width="2.25" customWidth="1" style="93" min="4861" max="4861"/>
    <col width="11.75" customWidth="1" style="93" min="4862" max="4863"/>
    <col width="10.5" customWidth="1" style="93" min="4864" max="4864"/>
    <col width="4.5" customWidth="1" style="93" min="4865" max="4865"/>
    <col width="3" customWidth="1" style="93" min="4866" max="4866"/>
    <col width="4.5" customWidth="1" style="93" min="4867" max="4867"/>
    <col width="3.25" customWidth="1" style="93" min="4868" max="4868"/>
    <col width="4.5" customWidth="1" style="93" min="4869" max="4869"/>
    <col width="4.875" customWidth="1" style="93" min="4870" max="4870"/>
    <col width="9" customWidth="1" style="93" min="4871" max="4871"/>
    <col width="4.75" customWidth="1" style="93" min="4872" max="4872"/>
    <col width="4" customWidth="1" style="93" min="4873" max="4875"/>
    <col width="3.375" customWidth="1" style="93" min="4876" max="4876"/>
    <col width="3.625" customWidth="1" style="93" min="4877" max="4877"/>
    <col width="3.875" customWidth="1" style="93" min="4878" max="4878"/>
    <col width="10.875" customWidth="1" style="93" min="4879" max="4879"/>
    <col width="9" customWidth="1" style="93" min="4880" max="5116"/>
    <col width="2.25" customWidth="1" style="93" min="5117" max="5117"/>
    <col width="11.75" customWidth="1" style="93" min="5118" max="5119"/>
    <col width="10.5" customWidth="1" style="93" min="5120" max="5120"/>
    <col width="4.5" customWidth="1" style="93" min="5121" max="5121"/>
    <col width="3" customWidth="1" style="93" min="5122" max="5122"/>
    <col width="4.5" customWidth="1" style="93" min="5123" max="5123"/>
    <col width="3.25" customWidth="1" style="93" min="5124" max="5124"/>
    <col width="4.5" customWidth="1" style="93" min="5125" max="5125"/>
    <col width="4.875" customWidth="1" style="93" min="5126" max="5126"/>
    <col width="9" customWidth="1" style="93" min="5127" max="5127"/>
    <col width="4.75" customWidth="1" style="93" min="5128" max="5128"/>
    <col width="4" customWidth="1" style="93" min="5129" max="5131"/>
    <col width="3.375" customWidth="1" style="93" min="5132" max="5132"/>
    <col width="3.625" customWidth="1" style="93" min="5133" max="5133"/>
    <col width="3.875" customWidth="1" style="93" min="5134" max="5134"/>
    <col width="10.875" customWidth="1" style="93" min="5135" max="5135"/>
    <col width="9" customWidth="1" style="93" min="5136" max="5372"/>
    <col width="2.25" customWidth="1" style="93" min="5373" max="5373"/>
    <col width="11.75" customWidth="1" style="93" min="5374" max="5375"/>
    <col width="10.5" customWidth="1" style="93" min="5376" max="5376"/>
    <col width="4.5" customWidth="1" style="93" min="5377" max="5377"/>
    <col width="3" customWidth="1" style="93" min="5378" max="5378"/>
    <col width="4.5" customWidth="1" style="93" min="5379" max="5379"/>
    <col width="3.25" customWidth="1" style="93" min="5380" max="5380"/>
    <col width="4.5" customWidth="1" style="93" min="5381" max="5381"/>
    <col width="4.875" customWidth="1" style="93" min="5382" max="5382"/>
    <col width="9" customWidth="1" style="93" min="5383" max="5383"/>
    <col width="4.75" customWidth="1" style="93" min="5384" max="5384"/>
    <col width="4" customWidth="1" style="93" min="5385" max="5387"/>
    <col width="3.375" customWidth="1" style="93" min="5388" max="5388"/>
    <col width="3.625" customWidth="1" style="93" min="5389" max="5389"/>
    <col width="3.875" customWidth="1" style="93" min="5390" max="5390"/>
    <col width="10.875" customWidth="1" style="93" min="5391" max="5391"/>
    <col width="9" customWidth="1" style="93" min="5392" max="5628"/>
    <col width="2.25" customWidth="1" style="93" min="5629" max="5629"/>
    <col width="11.75" customWidth="1" style="93" min="5630" max="5631"/>
    <col width="10.5" customWidth="1" style="93" min="5632" max="5632"/>
    <col width="4.5" customWidth="1" style="93" min="5633" max="5633"/>
    <col width="3" customWidth="1" style="93" min="5634" max="5634"/>
    <col width="4.5" customWidth="1" style="93" min="5635" max="5635"/>
    <col width="3.25" customWidth="1" style="93" min="5636" max="5636"/>
    <col width="4.5" customWidth="1" style="93" min="5637" max="5637"/>
    <col width="4.875" customWidth="1" style="93" min="5638" max="5638"/>
    <col width="9" customWidth="1" style="93" min="5639" max="5639"/>
    <col width="4.75" customWidth="1" style="93" min="5640" max="5640"/>
    <col width="4" customWidth="1" style="93" min="5641" max="5643"/>
    <col width="3.375" customWidth="1" style="93" min="5644" max="5644"/>
    <col width="3.625" customWidth="1" style="93" min="5645" max="5645"/>
    <col width="3.875" customWidth="1" style="93" min="5646" max="5646"/>
    <col width="10.875" customWidth="1" style="93" min="5647" max="5647"/>
    <col width="9" customWidth="1" style="93" min="5648" max="5884"/>
    <col width="2.25" customWidth="1" style="93" min="5885" max="5885"/>
    <col width="11.75" customWidth="1" style="93" min="5886" max="5887"/>
    <col width="10.5" customWidth="1" style="93" min="5888" max="5888"/>
    <col width="4.5" customWidth="1" style="93" min="5889" max="5889"/>
    <col width="3" customWidth="1" style="93" min="5890" max="5890"/>
    <col width="4.5" customWidth="1" style="93" min="5891" max="5891"/>
    <col width="3.25" customWidth="1" style="93" min="5892" max="5892"/>
    <col width="4.5" customWidth="1" style="93" min="5893" max="5893"/>
    <col width="4.875" customWidth="1" style="93" min="5894" max="5894"/>
    <col width="9" customWidth="1" style="93" min="5895" max="5895"/>
    <col width="4.75" customWidth="1" style="93" min="5896" max="5896"/>
    <col width="4" customWidth="1" style="93" min="5897" max="5899"/>
    <col width="3.375" customWidth="1" style="93" min="5900" max="5900"/>
    <col width="3.625" customWidth="1" style="93" min="5901" max="5901"/>
    <col width="3.875" customWidth="1" style="93" min="5902" max="5902"/>
    <col width="10.875" customWidth="1" style="93" min="5903" max="5903"/>
    <col width="9" customWidth="1" style="93" min="5904" max="6140"/>
    <col width="2.25" customWidth="1" style="93" min="6141" max="6141"/>
    <col width="11.75" customWidth="1" style="93" min="6142" max="6143"/>
    <col width="10.5" customWidth="1" style="93" min="6144" max="6144"/>
    <col width="4.5" customWidth="1" style="93" min="6145" max="6145"/>
    <col width="3" customWidth="1" style="93" min="6146" max="6146"/>
    <col width="4.5" customWidth="1" style="93" min="6147" max="6147"/>
    <col width="3.25" customWidth="1" style="93" min="6148" max="6148"/>
    <col width="4.5" customWidth="1" style="93" min="6149" max="6149"/>
    <col width="4.875" customWidth="1" style="93" min="6150" max="6150"/>
    <col width="9" customWidth="1" style="93" min="6151" max="6151"/>
    <col width="4.75" customWidth="1" style="93" min="6152" max="6152"/>
    <col width="4" customWidth="1" style="93" min="6153" max="6155"/>
    <col width="3.375" customWidth="1" style="93" min="6156" max="6156"/>
    <col width="3.625" customWidth="1" style="93" min="6157" max="6157"/>
    <col width="3.875" customWidth="1" style="93" min="6158" max="6158"/>
    <col width="10.875" customWidth="1" style="93" min="6159" max="6159"/>
    <col width="9" customWidth="1" style="93" min="6160" max="6396"/>
    <col width="2.25" customWidth="1" style="93" min="6397" max="6397"/>
    <col width="11.75" customWidth="1" style="93" min="6398" max="6399"/>
    <col width="10.5" customWidth="1" style="93" min="6400" max="6400"/>
    <col width="4.5" customWidth="1" style="93" min="6401" max="6401"/>
    <col width="3" customWidth="1" style="93" min="6402" max="6402"/>
    <col width="4.5" customWidth="1" style="93" min="6403" max="6403"/>
    <col width="3.25" customWidth="1" style="93" min="6404" max="6404"/>
    <col width="4.5" customWidth="1" style="93" min="6405" max="6405"/>
    <col width="4.875" customWidth="1" style="93" min="6406" max="6406"/>
    <col width="9" customWidth="1" style="93" min="6407" max="6407"/>
    <col width="4.75" customWidth="1" style="93" min="6408" max="6408"/>
    <col width="4" customWidth="1" style="93" min="6409" max="6411"/>
    <col width="3.375" customWidth="1" style="93" min="6412" max="6412"/>
    <col width="3.625" customWidth="1" style="93" min="6413" max="6413"/>
    <col width="3.875" customWidth="1" style="93" min="6414" max="6414"/>
    <col width="10.875" customWidth="1" style="93" min="6415" max="6415"/>
    <col width="9" customWidth="1" style="93" min="6416" max="6652"/>
    <col width="2.25" customWidth="1" style="93" min="6653" max="6653"/>
    <col width="11.75" customWidth="1" style="93" min="6654" max="6655"/>
    <col width="10.5" customWidth="1" style="93" min="6656" max="6656"/>
    <col width="4.5" customWidth="1" style="93" min="6657" max="6657"/>
    <col width="3" customWidth="1" style="93" min="6658" max="6658"/>
    <col width="4.5" customWidth="1" style="93" min="6659" max="6659"/>
    <col width="3.25" customWidth="1" style="93" min="6660" max="6660"/>
    <col width="4.5" customWidth="1" style="93" min="6661" max="6661"/>
    <col width="4.875" customWidth="1" style="93" min="6662" max="6662"/>
    <col width="9" customWidth="1" style="93" min="6663" max="6663"/>
    <col width="4.75" customWidth="1" style="93" min="6664" max="6664"/>
    <col width="4" customWidth="1" style="93" min="6665" max="6667"/>
    <col width="3.375" customWidth="1" style="93" min="6668" max="6668"/>
    <col width="3.625" customWidth="1" style="93" min="6669" max="6669"/>
    <col width="3.875" customWidth="1" style="93" min="6670" max="6670"/>
    <col width="10.875" customWidth="1" style="93" min="6671" max="6671"/>
    <col width="9" customWidth="1" style="93" min="6672" max="6908"/>
    <col width="2.25" customWidth="1" style="93" min="6909" max="6909"/>
    <col width="11.75" customWidth="1" style="93" min="6910" max="6911"/>
    <col width="10.5" customWidth="1" style="93" min="6912" max="6912"/>
    <col width="4.5" customWidth="1" style="93" min="6913" max="6913"/>
    <col width="3" customWidth="1" style="93" min="6914" max="6914"/>
    <col width="4.5" customWidth="1" style="93" min="6915" max="6915"/>
    <col width="3.25" customWidth="1" style="93" min="6916" max="6916"/>
    <col width="4.5" customWidth="1" style="93" min="6917" max="6917"/>
    <col width="4.875" customWidth="1" style="93" min="6918" max="6918"/>
    <col width="9" customWidth="1" style="93" min="6919" max="6919"/>
    <col width="4.75" customWidth="1" style="93" min="6920" max="6920"/>
    <col width="4" customWidth="1" style="93" min="6921" max="6923"/>
    <col width="3.375" customWidth="1" style="93" min="6924" max="6924"/>
    <col width="3.625" customWidth="1" style="93" min="6925" max="6925"/>
    <col width="3.875" customWidth="1" style="93" min="6926" max="6926"/>
    <col width="10.875" customWidth="1" style="93" min="6927" max="6927"/>
    <col width="9" customWidth="1" style="93" min="6928" max="7164"/>
    <col width="2.25" customWidth="1" style="93" min="7165" max="7165"/>
    <col width="11.75" customWidth="1" style="93" min="7166" max="7167"/>
    <col width="10.5" customWidth="1" style="93" min="7168" max="7168"/>
    <col width="4.5" customWidth="1" style="93" min="7169" max="7169"/>
    <col width="3" customWidth="1" style="93" min="7170" max="7170"/>
    <col width="4.5" customWidth="1" style="93" min="7171" max="7171"/>
    <col width="3.25" customWidth="1" style="93" min="7172" max="7172"/>
    <col width="4.5" customWidth="1" style="93" min="7173" max="7173"/>
    <col width="4.875" customWidth="1" style="93" min="7174" max="7174"/>
    <col width="9" customWidth="1" style="93" min="7175" max="7175"/>
    <col width="4.75" customWidth="1" style="93" min="7176" max="7176"/>
    <col width="4" customWidth="1" style="93" min="7177" max="7179"/>
    <col width="3.375" customWidth="1" style="93" min="7180" max="7180"/>
    <col width="3.625" customWidth="1" style="93" min="7181" max="7181"/>
    <col width="3.875" customWidth="1" style="93" min="7182" max="7182"/>
    <col width="10.875" customWidth="1" style="93" min="7183" max="7183"/>
    <col width="9" customWidth="1" style="93" min="7184" max="7420"/>
    <col width="2.25" customWidth="1" style="93" min="7421" max="7421"/>
    <col width="11.75" customWidth="1" style="93" min="7422" max="7423"/>
    <col width="10.5" customWidth="1" style="93" min="7424" max="7424"/>
    <col width="4.5" customWidth="1" style="93" min="7425" max="7425"/>
    <col width="3" customWidth="1" style="93" min="7426" max="7426"/>
    <col width="4.5" customWidth="1" style="93" min="7427" max="7427"/>
    <col width="3.25" customWidth="1" style="93" min="7428" max="7428"/>
    <col width="4.5" customWidth="1" style="93" min="7429" max="7429"/>
    <col width="4.875" customWidth="1" style="93" min="7430" max="7430"/>
    <col width="9" customWidth="1" style="93" min="7431" max="7431"/>
    <col width="4.75" customWidth="1" style="93" min="7432" max="7432"/>
    <col width="4" customWidth="1" style="93" min="7433" max="7435"/>
    <col width="3.375" customWidth="1" style="93" min="7436" max="7436"/>
    <col width="3.625" customWidth="1" style="93" min="7437" max="7437"/>
    <col width="3.875" customWidth="1" style="93" min="7438" max="7438"/>
    <col width="10.875" customWidth="1" style="93" min="7439" max="7439"/>
    <col width="9" customWidth="1" style="93" min="7440" max="7676"/>
    <col width="2.25" customWidth="1" style="93" min="7677" max="7677"/>
    <col width="11.75" customWidth="1" style="93" min="7678" max="7679"/>
    <col width="10.5" customWidth="1" style="93" min="7680" max="7680"/>
    <col width="4.5" customWidth="1" style="93" min="7681" max="7681"/>
    <col width="3" customWidth="1" style="93" min="7682" max="7682"/>
    <col width="4.5" customWidth="1" style="93" min="7683" max="7683"/>
    <col width="3.25" customWidth="1" style="93" min="7684" max="7684"/>
    <col width="4.5" customWidth="1" style="93" min="7685" max="7685"/>
    <col width="4.875" customWidth="1" style="93" min="7686" max="7686"/>
    <col width="9" customWidth="1" style="93" min="7687" max="7687"/>
    <col width="4.75" customWidth="1" style="93" min="7688" max="7688"/>
    <col width="4" customWidth="1" style="93" min="7689" max="7691"/>
    <col width="3.375" customWidth="1" style="93" min="7692" max="7692"/>
    <col width="3.625" customWidth="1" style="93" min="7693" max="7693"/>
    <col width="3.875" customWidth="1" style="93" min="7694" max="7694"/>
    <col width="10.875" customWidth="1" style="93" min="7695" max="7695"/>
    <col width="9" customWidth="1" style="93" min="7696" max="7932"/>
    <col width="2.25" customWidth="1" style="93" min="7933" max="7933"/>
    <col width="11.75" customWidth="1" style="93" min="7934" max="7935"/>
    <col width="10.5" customWidth="1" style="93" min="7936" max="7936"/>
    <col width="4.5" customWidth="1" style="93" min="7937" max="7937"/>
    <col width="3" customWidth="1" style="93" min="7938" max="7938"/>
    <col width="4.5" customWidth="1" style="93" min="7939" max="7939"/>
    <col width="3.25" customWidth="1" style="93" min="7940" max="7940"/>
    <col width="4.5" customWidth="1" style="93" min="7941" max="7941"/>
    <col width="4.875" customWidth="1" style="93" min="7942" max="7942"/>
    <col width="9" customWidth="1" style="93" min="7943" max="7943"/>
    <col width="4.75" customWidth="1" style="93" min="7944" max="7944"/>
    <col width="4" customWidth="1" style="93" min="7945" max="7947"/>
    <col width="3.375" customWidth="1" style="93" min="7948" max="7948"/>
    <col width="3.625" customWidth="1" style="93" min="7949" max="7949"/>
    <col width="3.875" customWidth="1" style="93" min="7950" max="7950"/>
    <col width="10.875" customWidth="1" style="93" min="7951" max="7951"/>
    <col width="9" customWidth="1" style="93" min="7952" max="8188"/>
    <col width="2.25" customWidth="1" style="93" min="8189" max="8189"/>
    <col width="11.75" customWidth="1" style="93" min="8190" max="8191"/>
    <col width="10.5" customWidth="1" style="93" min="8192" max="8192"/>
    <col width="4.5" customWidth="1" style="93" min="8193" max="8193"/>
    <col width="3" customWidth="1" style="93" min="8194" max="8194"/>
    <col width="4.5" customWidth="1" style="93" min="8195" max="8195"/>
    <col width="3.25" customWidth="1" style="93" min="8196" max="8196"/>
    <col width="4.5" customWidth="1" style="93" min="8197" max="8197"/>
    <col width="4.875" customWidth="1" style="93" min="8198" max="8198"/>
    <col width="9" customWidth="1" style="93" min="8199" max="8199"/>
    <col width="4.75" customWidth="1" style="93" min="8200" max="8200"/>
    <col width="4" customWidth="1" style="93" min="8201" max="8203"/>
    <col width="3.375" customWidth="1" style="93" min="8204" max="8204"/>
    <col width="3.625" customWidth="1" style="93" min="8205" max="8205"/>
    <col width="3.875" customWidth="1" style="93" min="8206" max="8206"/>
    <col width="10.875" customWidth="1" style="93" min="8207" max="8207"/>
    <col width="9" customWidth="1" style="93" min="8208" max="8444"/>
    <col width="2.25" customWidth="1" style="93" min="8445" max="8445"/>
    <col width="11.75" customWidth="1" style="93" min="8446" max="8447"/>
    <col width="10.5" customWidth="1" style="93" min="8448" max="8448"/>
    <col width="4.5" customWidth="1" style="93" min="8449" max="8449"/>
    <col width="3" customWidth="1" style="93" min="8450" max="8450"/>
    <col width="4.5" customWidth="1" style="93" min="8451" max="8451"/>
    <col width="3.25" customWidth="1" style="93" min="8452" max="8452"/>
    <col width="4.5" customWidth="1" style="93" min="8453" max="8453"/>
    <col width="4.875" customWidth="1" style="93" min="8454" max="8454"/>
    <col width="9" customWidth="1" style="93" min="8455" max="8455"/>
    <col width="4.75" customWidth="1" style="93" min="8456" max="8456"/>
    <col width="4" customWidth="1" style="93" min="8457" max="8459"/>
    <col width="3.375" customWidth="1" style="93" min="8460" max="8460"/>
    <col width="3.625" customWidth="1" style="93" min="8461" max="8461"/>
    <col width="3.875" customWidth="1" style="93" min="8462" max="8462"/>
    <col width="10.875" customWidth="1" style="93" min="8463" max="8463"/>
    <col width="9" customWidth="1" style="93" min="8464" max="8700"/>
    <col width="2.25" customWidth="1" style="93" min="8701" max="8701"/>
    <col width="11.75" customWidth="1" style="93" min="8702" max="8703"/>
    <col width="10.5" customWidth="1" style="93" min="8704" max="8704"/>
    <col width="4.5" customWidth="1" style="93" min="8705" max="8705"/>
    <col width="3" customWidth="1" style="93" min="8706" max="8706"/>
    <col width="4.5" customWidth="1" style="93" min="8707" max="8707"/>
    <col width="3.25" customWidth="1" style="93" min="8708" max="8708"/>
    <col width="4.5" customWidth="1" style="93" min="8709" max="8709"/>
    <col width="4.875" customWidth="1" style="93" min="8710" max="8710"/>
    <col width="9" customWidth="1" style="93" min="8711" max="8711"/>
    <col width="4.75" customWidth="1" style="93" min="8712" max="8712"/>
    <col width="4" customWidth="1" style="93" min="8713" max="8715"/>
    <col width="3.375" customWidth="1" style="93" min="8716" max="8716"/>
    <col width="3.625" customWidth="1" style="93" min="8717" max="8717"/>
    <col width="3.875" customWidth="1" style="93" min="8718" max="8718"/>
    <col width="10.875" customWidth="1" style="93" min="8719" max="8719"/>
    <col width="9" customWidth="1" style="93" min="8720" max="8956"/>
    <col width="2.25" customWidth="1" style="93" min="8957" max="8957"/>
    <col width="11.75" customWidth="1" style="93" min="8958" max="8959"/>
    <col width="10.5" customWidth="1" style="93" min="8960" max="8960"/>
    <col width="4.5" customWidth="1" style="93" min="8961" max="8961"/>
    <col width="3" customWidth="1" style="93" min="8962" max="8962"/>
    <col width="4.5" customWidth="1" style="93" min="8963" max="8963"/>
    <col width="3.25" customWidth="1" style="93" min="8964" max="8964"/>
    <col width="4.5" customWidth="1" style="93" min="8965" max="8965"/>
    <col width="4.875" customWidth="1" style="93" min="8966" max="8966"/>
    <col width="9" customWidth="1" style="93" min="8967" max="8967"/>
    <col width="4.75" customWidth="1" style="93" min="8968" max="8968"/>
    <col width="4" customWidth="1" style="93" min="8969" max="8971"/>
    <col width="3.375" customWidth="1" style="93" min="8972" max="8972"/>
    <col width="3.625" customWidth="1" style="93" min="8973" max="8973"/>
    <col width="3.875" customWidth="1" style="93" min="8974" max="8974"/>
    <col width="10.875" customWidth="1" style="93" min="8975" max="8975"/>
    <col width="9" customWidth="1" style="93" min="8976" max="9212"/>
    <col width="2.25" customWidth="1" style="93" min="9213" max="9213"/>
    <col width="11.75" customWidth="1" style="93" min="9214" max="9215"/>
    <col width="10.5" customWidth="1" style="93" min="9216" max="9216"/>
    <col width="4.5" customWidth="1" style="93" min="9217" max="9217"/>
    <col width="3" customWidth="1" style="93" min="9218" max="9218"/>
    <col width="4.5" customWidth="1" style="93" min="9219" max="9219"/>
    <col width="3.25" customWidth="1" style="93" min="9220" max="9220"/>
    <col width="4.5" customWidth="1" style="93" min="9221" max="9221"/>
    <col width="4.875" customWidth="1" style="93" min="9222" max="9222"/>
    <col width="9" customWidth="1" style="93" min="9223" max="9223"/>
    <col width="4.75" customWidth="1" style="93" min="9224" max="9224"/>
    <col width="4" customWidth="1" style="93" min="9225" max="9227"/>
    <col width="3.375" customWidth="1" style="93" min="9228" max="9228"/>
    <col width="3.625" customWidth="1" style="93" min="9229" max="9229"/>
    <col width="3.875" customWidth="1" style="93" min="9230" max="9230"/>
    <col width="10.875" customWidth="1" style="93" min="9231" max="9231"/>
    <col width="9" customWidth="1" style="93" min="9232" max="9468"/>
    <col width="2.25" customWidth="1" style="93" min="9469" max="9469"/>
    <col width="11.75" customWidth="1" style="93" min="9470" max="9471"/>
    <col width="10.5" customWidth="1" style="93" min="9472" max="9472"/>
    <col width="4.5" customWidth="1" style="93" min="9473" max="9473"/>
    <col width="3" customWidth="1" style="93" min="9474" max="9474"/>
    <col width="4.5" customWidth="1" style="93" min="9475" max="9475"/>
    <col width="3.25" customWidth="1" style="93" min="9476" max="9476"/>
    <col width="4.5" customWidth="1" style="93" min="9477" max="9477"/>
    <col width="4.875" customWidth="1" style="93" min="9478" max="9478"/>
    <col width="9" customWidth="1" style="93" min="9479" max="9479"/>
    <col width="4.75" customWidth="1" style="93" min="9480" max="9480"/>
    <col width="4" customWidth="1" style="93" min="9481" max="9483"/>
    <col width="3.375" customWidth="1" style="93" min="9484" max="9484"/>
    <col width="3.625" customWidth="1" style="93" min="9485" max="9485"/>
    <col width="3.875" customWidth="1" style="93" min="9486" max="9486"/>
    <col width="10.875" customWidth="1" style="93" min="9487" max="9487"/>
    <col width="9" customWidth="1" style="93" min="9488" max="9724"/>
    <col width="2.25" customWidth="1" style="93" min="9725" max="9725"/>
    <col width="11.75" customWidth="1" style="93" min="9726" max="9727"/>
    <col width="10.5" customWidth="1" style="93" min="9728" max="9728"/>
    <col width="4.5" customWidth="1" style="93" min="9729" max="9729"/>
    <col width="3" customWidth="1" style="93" min="9730" max="9730"/>
    <col width="4.5" customWidth="1" style="93" min="9731" max="9731"/>
    <col width="3.25" customWidth="1" style="93" min="9732" max="9732"/>
    <col width="4.5" customWidth="1" style="93" min="9733" max="9733"/>
    <col width="4.875" customWidth="1" style="93" min="9734" max="9734"/>
    <col width="9" customWidth="1" style="93" min="9735" max="9735"/>
    <col width="4.75" customWidth="1" style="93" min="9736" max="9736"/>
    <col width="4" customWidth="1" style="93" min="9737" max="9739"/>
    <col width="3.375" customWidth="1" style="93" min="9740" max="9740"/>
    <col width="3.625" customWidth="1" style="93" min="9741" max="9741"/>
    <col width="3.875" customWidth="1" style="93" min="9742" max="9742"/>
    <col width="10.875" customWidth="1" style="93" min="9743" max="9743"/>
    <col width="9" customWidth="1" style="93" min="9744" max="9980"/>
    <col width="2.25" customWidth="1" style="93" min="9981" max="9981"/>
    <col width="11.75" customWidth="1" style="93" min="9982" max="9983"/>
    <col width="10.5" customWidth="1" style="93" min="9984" max="9984"/>
    <col width="4.5" customWidth="1" style="93" min="9985" max="9985"/>
    <col width="3" customWidth="1" style="93" min="9986" max="9986"/>
    <col width="4.5" customWidth="1" style="93" min="9987" max="9987"/>
    <col width="3.25" customWidth="1" style="93" min="9988" max="9988"/>
    <col width="4.5" customWidth="1" style="93" min="9989" max="9989"/>
    <col width="4.875" customWidth="1" style="93" min="9990" max="9990"/>
    <col width="9" customWidth="1" style="93" min="9991" max="9991"/>
    <col width="4.75" customWidth="1" style="93" min="9992" max="9992"/>
    <col width="4" customWidth="1" style="93" min="9993" max="9995"/>
    <col width="3.375" customWidth="1" style="93" min="9996" max="9996"/>
    <col width="3.625" customWidth="1" style="93" min="9997" max="9997"/>
    <col width="3.875" customWidth="1" style="93" min="9998" max="9998"/>
    <col width="10.875" customWidth="1" style="93" min="9999" max="9999"/>
    <col width="9" customWidth="1" style="93" min="10000" max="10236"/>
    <col width="2.25" customWidth="1" style="93" min="10237" max="10237"/>
    <col width="11.75" customWidth="1" style="93" min="10238" max="10239"/>
    <col width="10.5" customWidth="1" style="93" min="10240" max="10240"/>
    <col width="4.5" customWidth="1" style="93" min="10241" max="10241"/>
    <col width="3" customWidth="1" style="93" min="10242" max="10242"/>
    <col width="4.5" customWidth="1" style="93" min="10243" max="10243"/>
    <col width="3.25" customWidth="1" style="93" min="10244" max="10244"/>
    <col width="4.5" customWidth="1" style="93" min="10245" max="10245"/>
    <col width="4.875" customWidth="1" style="93" min="10246" max="10246"/>
    <col width="9" customWidth="1" style="93" min="10247" max="10247"/>
    <col width="4.75" customWidth="1" style="93" min="10248" max="10248"/>
    <col width="4" customWidth="1" style="93" min="10249" max="10251"/>
    <col width="3.375" customWidth="1" style="93" min="10252" max="10252"/>
    <col width="3.625" customWidth="1" style="93" min="10253" max="10253"/>
    <col width="3.875" customWidth="1" style="93" min="10254" max="10254"/>
    <col width="10.875" customWidth="1" style="93" min="10255" max="10255"/>
    <col width="9" customWidth="1" style="93" min="10256" max="10492"/>
    <col width="2.25" customWidth="1" style="93" min="10493" max="10493"/>
    <col width="11.75" customWidth="1" style="93" min="10494" max="10495"/>
    <col width="10.5" customWidth="1" style="93" min="10496" max="10496"/>
    <col width="4.5" customWidth="1" style="93" min="10497" max="10497"/>
    <col width="3" customWidth="1" style="93" min="10498" max="10498"/>
    <col width="4.5" customWidth="1" style="93" min="10499" max="10499"/>
    <col width="3.25" customWidth="1" style="93" min="10500" max="10500"/>
    <col width="4.5" customWidth="1" style="93" min="10501" max="10501"/>
    <col width="4.875" customWidth="1" style="93" min="10502" max="10502"/>
    <col width="9" customWidth="1" style="93" min="10503" max="10503"/>
    <col width="4.75" customWidth="1" style="93" min="10504" max="10504"/>
    <col width="4" customWidth="1" style="93" min="10505" max="10507"/>
    <col width="3.375" customWidth="1" style="93" min="10508" max="10508"/>
    <col width="3.625" customWidth="1" style="93" min="10509" max="10509"/>
    <col width="3.875" customWidth="1" style="93" min="10510" max="10510"/>
    <col width="10.875" customWidth="1" style="93" min="10511" max="10511"/>
    <col width="9" customWidth="1" style="93" min="10512" max="10748"/>
    <col width="2.25" customWidth="1" style="93" min="10749" max="10749"/>
    <col width="11.75" customWidth="1" style="93" min="10750" max="10751"/>
    <col width="10.5" customWidth="1" style="93" min="10752" max="10752"/>
    <col width="4.5" customWidth="1" style="93" min="10753" max="10753"/>
    <col width="3" customWidth="1" style="93" min="10754" max="10754"/>
    <col width="4.5" customWidth="1" style="93" min="10755" max="10755"/>
    <col width="3.25" customWidth="1" style="93" min="10756" max="10756"/>
    <col width="4.5" customWidth="1" style="93" min="10757" max="10757"/>
    <col width="4.875" customWidth="1" style="93" min="10758" max="10758"/>
    <col width="9" customWidth="1" style="93" min="10759" max="10759"/>
    <col width="4.75" customWidth="1" style="93" min="10760" max="10760"/>
    <col width="4" customWidth="1" style="93" min="10761" max="10763"/>
    <col width="3.375" customWidth="1" style="93" min="10764" max="10764"/>
    <col width="3.625" customWidth="1" style="93" min="10765" max="10765"/>
    <col width="3.875" customWidth="1" style="93" min="10766" max="10766"/>
    <col width="10.875" customWidth="1" style="93" min="10767" max="10767"/>
    <col width="9" customWidth="1" style="93" min="10768" max="11004"/>
    <col width="2.25" customWidth="1" style="93" min="11005" max="11005"/>
    <col width="11.75" customWidth="1" style="93" min="11006" max="11007"/>
    <col width="10.5" customWidth="1" style="93" min="11008" max="11008"/>
    <col width="4.5" customWidth="1" style="93" min="11009" max="11009"/>
    <col width="3" customWidth="1" style="93" min="11010" max="11010"/>
    <col width="4.5" customWidth="1" style="93" min="11011" max="11011"/>
    <col width="3.25" customWidth="1" style="93" min="11012" max="11012"/>
    <col width="4.5" customWidth="1" style="93" min="11013" max="11013"/>
    <col width="4.875" customWidth="1" style="93" min="11014" max="11014"/>
    <col width="9" customWidth="1" style="93" min="11015" max="11015"/>
    <col width="4.75" customWidth="1" style="93" min="11016" max="11016"/>
    <col width="4" customWidth="1" style="93" min="11017" max="11019"/>
    <col width="3.375" customWidth="1" style="93" min="11020" max="11020"/>
    <col width="3.625" customWidth="1" style="93" min="11021" max="11021"/>
    <col width="3.875" customWidth="1" style="93" min="11022" max="11022"/>
    <col width="10.875" customWidth="1" style="93" min="11023" max="11023"/>
    <col width="9" customWidth="1" style="93" min="11024" max="11260"/>
    <col width="2.25" customWidth="1" style="93" min="11261" max="11261"/>
    <col width="11.75" customWidth="1" style="93" min="11262" max="11263"/>
    <col width="10.5" customWidth="1" style="93" min="11264" max="11264"/>
    <col width="4.5" customWidth="1" style="93" min="11265" max="11265"/>
    <col width="3" customWidth="1" style="93" min="11266" max="11266"/>
    <col width="4.5" customWidth="1" style="93" min="11267" max="11267"/>
    <col width="3.25" customWidth="1" style="93" min="11268" max="11268"/>
    <col width="4.5" customWidth="1" style="93" min="11269" max="11269"/>
    <col width="4.875" customWidth="1" style="93" min="11270" max="11270"/>
    <col width="9" customWidth="1" style="93" min="11271" max="11271"/>
    <col width="4.75" customWidth="1" style="93" min="11272" max="11272"/>
    <col width="4" customWidth="1" style="93" min="11273" max="11275"/>
    <col width="3.375" customWidth="1" style="93" min="11276" max="11276"/>
    <col width="3.625" customWidth="1" style="93" min="11277" max="11277"/>
    <col width="3.875" customWidth="1" style="93" min="11278" max="11278"/>
    <col width="10.875" customWidth="1" style="93" min="11279" max="11279"/>
    <col width="9" customWidth="1" style="93" min="11280" max="11516"/>
    <col width="2.25" customWidth="1" style="93" min="11517" max="11517"/>
    <col width="11.75" customWidth="1" style="93" min="11518" max="11519"/>
    <col width="10.5" customWidth="1" style="93" min="11520" max="11520"/>
    <col width="4.5" customWidth="1" style="93" min="11521" max="11521"/>
    <col width="3" customWidth="1" style="93" min="11522" max="11522"/>
    <col width="4.5" customWidth="1" style="93" min="11523" max="11523"/>
    <col width="3.25" customWidth="1" style="93" min="11524" max="11524"/>
    <col width="4.5" customWidth="1" style="93" min="11525" max="11525"/>
    <col width="4.875" customWidth="1" style="93" min="11526" max="11526"/>
    <col width="9" customWidth="1" style="93" min="11527" max="11527"/>
    <col width="4.75" customWidth="1" style="93" min="11528" max="11528"/>
    <col width="4" customWidth="1" style="93" min="11529" max="11531"/>
    <col width="3.375" customWidth="1" style="93" min="11532" max="11532"/>
    <col width="3.625" customWidth="1" style="93" min="11533" max="11533"/>
    <col width="3.875" customWidth="1" style="93" min="11534" max="11534"/>
    <col width="10.875" customWidth="1" style="93" min="11535" max="11535"/>
    <col width="9" customWidth="1" style="93" min="11536" max="11772"/>
    <col width="2.25" customWidth="1" style="93" min="11773" max="11773"/>
    <col width="11.75" customWidth="1" style="93" min="11774" max="11775"/>
    <col width="10.5" customWidth="1" style="93" min="11776" max="11776"/>
    <col width="4.5" customWidth="1" style="93" min="11777" max="11777"/>
    <col width="3" customWidth="1" style="93" min="11778" max="11778"/>
    <col width="4.5" customWidth="1" style="93" min="11779" max="11779"/>
    <col width="3.25" customWidth="1" style="93" min="11780" max="11780"/>
    <col width="4.5" customWidth="1" style="93" min="11781" max="11781"/>
    <col width="4.875" customWidth="1" style="93" min="11782" max="11782"/>
    <col width="9" customWidth="1" style="93" min="11783" max="11783"/>
    <col width="4.75" customWidth="1" style="93" min="11784" max="11784"/>
    <col width="4" customWidth="1" style="93" min="11785" max="11787"/>
    <col width="3.375" customWidth="1" style="93" min="11788" max="11788"/>
    <col width="3.625" customWidth="1" style="93" min="11789" max="11789"/>
    <col width="3.875" customWidth="1" style="93" min="11790" max="11790"/>
    <col width="10.875" customWidth="1" style="93" min="11791" max="11791"/>
    <col width="9" customWidth="1" style="93" min="11792" max="12028"/>
    <col width="2.25" customWidth="1" style="93" min="12029" max="12029"/>
    <col width="11.75" customWidth="1" style="93" min="12030" max="12031"/>
    <col width="10.5" customWidth="1" style="93" min="12032" max="12032"/>
    <col width="4.5" customWidth="1" style="93" min="12033" max="12033"/>
    <col width="3" customWidth="1" style="93" min="12034" max="12034"/>
    <col width="4.5" customWidth="1" style="93" min="12035" max="12035"/>
    <col width="3.25" customWidth="1" style="93" min="12036" max="12036"/>
    <col width="4.5" customWidth="1" style="93" min="12037" max="12037"/>
    <col width="4.875" customWidth="1" style="93" min="12038" max="12038"/>
    <col width="9" customWidth="1" style="93" min="12039" max="12039"/>
    <col width="4.75" customWidth="1" style="93" min="12040" max="12040"/>
    <col width="4" customWidth="1" style="93" min="12041" max="12043"/>
    <col width="3.375" customWidth="1" style="93" min="12044" max="12044"/>
    <col width="3.625" customWidth="1" style="93" min="12045" max="12045"/>
    <col width="3.875" customWidth="1" style="93" min="12046" max="12046"/>
    <col width="10.875" customWidth="1" style="93" min="12047" max="12047"/>
    <col width="9" customWidth="1" style="93" min="12048" max="12284"/>
    <col width="2.25" customWidth="1" style="93" min="12285" max="12285"/>
    <col width="11.75" customWidth="1" style="93" min="12286" max="12287"/>
    <col width="10.5" customWidth="1" style="93" min="12288" max="12288"/>
    <col width="4.5" customWidth="1" style="93" min="12289" max="12289"/>
    <col width="3" customWidth="1" style="93" min="12290" max="12290"/>
    <col width="4.5" customWidth="1" style="93" min="12291" max="12291"/>
    <col width="3.25" customWidth="1" style="93" min="12292" max="12292"/>
    <col width="4.5" customWidth="1" style="93" min="12293" max="12293"/>
    <col width="4.875" customWidth="1" style="93" min="12294" max="12294"/>
    <col width="9" customWidth="1" style="93" min="12295" max="12295"/>
    <col width="4.75" customWidth="1" style="93" min="12296" max="12296"/>
    <col width="4" customWidth="1" style="93" min="12297" max="12299"/>
    <col width="3.375" customWidth="1" style="93" min="12300" max="12300"/>
    <col width="3.625" customWidth="1" style="93" min="12301" max="12301"/>
    <col width="3.875" customWidth="1" style="93" min="12302" max="12302"/>
    <col width="10.875" customWidth="1" style="93" min="12303" max="12303"/>
    <col width="9" customWidth="1" style="93" min="12304" max="12540"/>
    <col width="2.25" customWidth="1" style="93" min="12541" max="12541"/>
    <col width="11.75" customWidth="1" style="93" min="12542" max="12543"/>
    <col width="10.5" customWidth="1" style="93" min="12544" max="12544"/>
    <col width="4.5" customWidth="1" style="93" min="12545" max="12545"/>
    <col width="3" customWidth="1" style="93" min="12546" max="12546"/>
    <col width="4.5" customWidth="1" style="93" min="12547" max="12547"/>
    <col width="3.25" customWidth="1" style="93" min="12548" max="12548"/>
    <col width="4.5" customWidth="1" style="93" min="12549" max="12549"/>
    <col width="4.875" customWidth="1" style="93" min="12550" max="12550"/>
    <col width="9" customWidth="1" style="93" min="12551" max="12551"/>
    <col width="4.75" customWidth="1" style="93" min="12552" max="12552"/>
    <col width="4" customWidth="1" style="93" min="12553" max="12555"/>
    <col width="3.375" customWidth="1" style="93" min="12556" max="12556"/>
    <col width="3.625" customWidth="1" style="93" min="12557" max="12557"/>
    <col width="3.875" customWidth="1" style="93" min="12558" max="12558"/>
    <col width="10.875" customWidth="1" style="93" min="12559" max="12559"/>
    <col width="9" customWidth="1" style="93" min="12560" max="12796"/>
    <col width="2.25" customWidth="1" style="93" min="12797" max="12797"/>
    <col width="11.75" customWidth="1" style="93" min="12798" max="12799"/>
    <col width="10.5" customWidth="1" style="93" min="12800" max="12800"/>
    <col width="4.5" customWidth="1" style="93" min="12801" max="12801"/>
    <col width="3" customWidth="1" style="93" min="12802" max="12802"/>
    <col width="4.5" customWidth="1" style="93" min="12803" max="12803"/>
    <col width="3.25" customWidth="1" style="93" min="12804" max="12804"/>
    <col width="4.5" customWidth="1" style="93" min="12805" max="12805"/>
    <col width="4.875" customWidth="1" style="93" min="12806" max="12806"/>
    <col width="9" customWidth="1" style="93" min="12807" max="12807"/>
    <col width="4.75" customWidth="1" style="93" min="12808" max="12808"/>
    <col width="4" customWidth="1" style="93" min="12809" max="12811"/>
    <col width="3.375" customWidth="1" style="93" min="12812" max="12812"/>
    <col width="3.625" customWidth="1" style="93" min="12813" max="12813"/>
    <col width="3.875" customWidth="1" style="93" min="12814" max="12814"/>
    <col width="10.875" customWidth="1" style="93" min="12815" max="12815"/>
    <col width="9" customWidth="1" style="93" min="12816" max="13052"/>
    <col width="2.25" customWidth="1" style="93" min="13053" max="13053"/>
    <col width="11.75" customWidth="1" style="93" min="13054" max="13055"/>
    <col width="10.5" customWidth="1" style="93" min="13056" max="13056"/>
    <col width="4.5" customWidth="1" style="93" min="13057" max="13057"/>
    <col width="3" customWidth="1" style="93" min="13058" max="13058"/>
    <col width="4.5" customWidth="1" style="93" min="13059" max="13059"/>
    <col width="3.25" customWidth="1" style="93" min="13060" max="13060"/>
    <col width="4.5" customWidth="1" style="93" min="13061" max="13061"/>
    <col width="4.875" customWidth="1" style="93" min="13062" max="13062"/>
    <col width="9" customWidth="1" style="93" min="13063" max="13063"/>
    <col width="4.75" customWidth="1" style="93" min="13064" max="13064"/>
    <col width="4" customWidth="1" style="93" min="13065" max="13067"/>
    <col width="3.375" customWidth="1" style="93" min="13068" max="13068"/>
    <col width="3.625" customWidth="1" style="93" min="13069" max="13069"/>
    <col width="3.875" customWidth="1" style="93" min="13070" max="13070"/>
    <col width="10.875" customWidth="1" style="93" min="13071" max="13071"/>
    <col width="9" customWidth="1" style="93" min="13072" max="13308"/>
    <col width="2.25" customWidth="1" style="93" min="13309" max="13309"/>
    <col width="11.75" customWidth="1" style="93" min="13310" max="13311"/>
    <col width="10.5" customWidth="1" style="93" min="13312" max="13312"/>
    <col width="4.5" customWidth="1" style="93" min="13313" max="13313"/>
    <col width="3" customWidth="1" style="93" min="13314" max="13314"/>
    <col width="4.5" customWidth="1" style="93" min="13315" max="13315"/>
    <col width="3.25" customWidth="1" style="93" min="13316" max="13316"/>
    <col width="4.5" customWidth="1" style="93" min="13317" max="13317"/>
    <col width="4.875" customWidth="1" style="93" min="13318" max="13318"/>
    <col width="9" customWidth="1" style="93" min="13319" max="13319"/>
    <col width="4.75" customWidth="1" style="93" min="13320" max="13320"/>
    <col width="4" customWidth="1" style="93" min="13321" max="13323"/>
    <col width="3.375" customWidth="1" style="93" min="13324" max="13324"/>
    <col width="3.625" customWidth="1" style="93" min="13325" max="13325"/>
    <col width="3.875" customWidth="1" style="93" min="13326" max="13326"/>
    <col width="10.875" customWidth="1" style="93" min="13327" max="13327"/>
    <col width="9" customWidth="1" style="93" min="13328" max="13564"/>
    <col width="2.25" customWidth="1" style="93" min="13565" max="13565"/>
    <col width="11.75" customWidth="1" style="93" min="13566" max="13567"/>
    <col width="10.5" customWidth="1" style="93" min="13568" max="13568"/>
    <col width="4.5" customWidth="1" style="93" min="13569" max="13569"/>
    <col width="3" customWidth="1" style="93" min="13570" max="13570"/>
    <col width="4.5" customWidth="1" style="93" min="13571" max="13571"/>
    <col width="3.25" customWidth="1" style="93" min="13572" max="13572"/>
    <col width="4.5" customWidth="1" style="93" min="13573" max="13573"/>
    <col width="4.875" customWidth="1" style="93" min="13574" max="13574"/>
    <col width="9" customWidth="1" style="93" min="13575" max="13575"/>
    <col width="4.75" customWidth="1" style="93" min="13576" max="13576"/>
    <col width="4" customWidth="1" style="93" min="13577" max="13579"/>
    <col width="3.375" customWidth="1" style="93" min="13580" max="13580"/>
    <col width="3.625" customWidth="1" style="93" min="13581" max="13581"/>
    <col width="3.875" customWidth="1" style="93" min="13582" max="13582"/>
    <col width="10.875" customWidth="1" style="93" min="13583" max="13583"/>
    <col width="9" customWidth="1" style="93" min="13584" max="13820"/>
    <col width="2.25" customWidth="1" style="93" min="13821" max="13821"/>
    <col width="11.75" customWidth="1" style="93" min="13822" max="13823"/>
    <col width="10.5" customWidth="1" style="93" min="13824" max="13824"/>
    <col width="4.5" customWidth="1" style="93" min="13825" max="13825"/>
    <col width="3" customWidth="1" style="93" min="13826" max="13826"/>
    <col width="4.5" customWidth="1" style="93" min="13827" max="13827"/>
    <col width="3.25" customWidth="1" style="93" min="13828" max="13828"/>
    <col width="4.5" customWidth="1" style="93" min="13829" max="13829"/>
    <col width="4.875" customWidth="1" style="93" min="13830" max="13830"/>
    <col width="9" customWidth="1" style="93" min="13831" max="13831"/>
    <col width="4.75" customWidth="1" style="93" min="13832" max="13832"/>
    <col width="4" customWidth="1" style="93" min="13833" max="13835"/>
    <col width="3.375" customWidth="1" style="93" min="13836" max="13836"/>
    <col width="3.625" customWidth="1" style="93" min="13837" max="13837"/>
    <col width="3.875" customWidth="1" style="93" min="13838" max="13838"/>
    <col width="10.875" customWidth="1" style="93" min="13839" max="13839"/>
    <col width="9" customWidth="1" style="93" min="13840" max="14076"/>
    <col width="2.25" customWidth="1" style="93" min="14077" max="14077"/>
    <col width="11.75" customWidth="1" style="93" min="14078" max="14079"/>
    <col width="10.5" customWidth="1" style="93" min="14080" max="14080"/>
    <col width="4.5" customWidth="1" style="93" min="14081" max="14081"/>
    <col width="3" customWidth="1" style="93" min="14082" max="14082"/>
    <col width="4.5" customWidth="1" style="93" min="14083" max="14083"/>
    <col width="3.25" customWidth="1" style="93" min="14084" max="14084"/>
    <col width="4.5" customWidth="1" style="93" min="14085" max="14085"/>
    <col width="4.875" customWidth="1" style="93" min="14086" max="14086"/>
    <col width="9" customWidth="1" style="93" min="14087" max="14087"/>
    <col width="4.75" customWidth="1" style="93" min="14088" max="14088"/>
    <col width="4" customWidth="1" style="93" min="14089" max="14091"/>
    <col width="3.375" customWidth="1" style="93" min="14092" max="14092"/>
    <col width="3.625" customWidth="1" style="93" min="14093" max="14093"/>
    <col width="3.875" customWidth="1" style="93" min="14094" max="14094"/>
    <col width="10.875" customWidth="1" style="93" min="14095" max="14095"/>
    <col width="9" customWidth="1" style="93" min="14096" max="14332"/>
    <col width="2.25" customWidth="1" style="93" min="14333" max="14333"/>
    <col width="11.75" customWidth="1" style="93" min="14334" max="14335"/>
    <col width="10.5" customWidth="1" style="93" min="14336" max="14336"/>
    <col width="4.5" customWidth="1" style="93" min="14337" max="14337"/>
    <col width="3" customWidth="1" style="93" min="14338" max="14338"/>
    <col width="4.5" customWidth="1" style="93" min="14339" max="14339"/>
    <col width="3.25" customWidth="1" style="93" min="14340" max="14340"/>
    <col width="4.5" customWidth="1" style="93" min="14341" max="14341"/>
    <col width="4.875" customWidth="1" style="93" min="14342" max="14342"/>
    <col width="9" customWidth="1" style="93" min="14343" max="14343"/>
    <col width="4.75" customWidth="1" style="93" min="14344" max="14344"/>
    <col width="4" customWidth="1" style="93" min="14345" max="14347"/>
    <col width="3.375" customWidth="1" style="93" min="14348" max="14348"/>
    <col width="3.625" customWidth="1" style="93" min="14349" max="14349"/>
    <col width="3.875" customWidth="1" style="93" min="14350" max="14350"/>
    <col width="10.875" customWidth="1" style="93" min="14351" max="14351"/>
    <col width="9" customWidth="1" style="93" min="14352" max="14588"/>
    <col width="2.25" customWidth="1" style="93" min="14589" max="14589"/>
    <col width="11.75" customWidth="1" style="93" min="14590" max="14591"/>
    <col width="10.5" customWidth="1" style="93" min="14592" max="14592"/>
    <col width="4.5" customWidth="1" style="93" min="14593" max="14593"/>
    <col width="3" customWidth="1" style="93" min="14594" max="14594"/>
    <col width="4.5" customWidth="1" style="93" min="14595" max="14595"/>
    <col width="3.25" customWidth="1" style="93" min="14596" max="14596"/>
    <col width="4.5" customWidth="1" style="93" min="14597" max="14597"/>
    <col width="4.875" customWidth="1" style="93" min="14598" max="14598"/>
    <col width="9" customWidth="1" style="93" min="14599" max="14599"/>
    <col width="4.75" customWidth="1" style="93" min="14600" max="14600"/>
    <col width="4" customWidth="1" style="93" min="14601" max="14603"/>
    <col width="3.375" customWidth="1" style="93" min="14604" max="14604"/>
    <col width="3.625" customWidth="1" style="93" min="14605" max="14605"/>
    <col width="3.875" customWidth="1" style="93" min="14606" max="14606"/>
    <col width="10.875" customWidth="1" style="93" min="14607" max="14607"/>
    <col width="9" customWidth="1" style="93" min="14608" max="14844"/>
    <col width="2.25" customWidth="1" style="93" min="14845" max="14845"/>
    <col width="11.75" customWidth="1" style="93" min="14846" max="14847"/>
    <col width="10.5" customWidth="1" style="93" min="14848" max="14848"/>
    <col width="4.5" customWidth="1" style="93" min="14849" max="14849"/>
    <col width="3" customWidth="1" style="93" min="14850" max="14850"/>
    <col width="4.5" customWidth="1" style="93" min="14851" max="14851"/>
    <col width="3.25" customWidth="1" style="93" min="14852" max="14852"/>
    <col width="4.5" customWidth="1" style="93" min="14853" max="14853"/>
    <col width="4.875" customWidth="1" style="93" min="14854" max="14854"/>
    <col width="9" customWidth="1" style="93" min="14855" max="14855"/>
    <col width="4.75" customWidth="1" style="93" min="14856" max="14856"/>
    <col width="4" customWidth="1" style="93" min="14857" max="14859"/>
    <col width="3.375" customWidth="1" style="93" min="14860" max="14860"/>
    <col width="3.625" customWidth="1" style="93" min="14861" max="14861"/>
    <col width="3.875" customWidth="1" style="93" min="14862" max="14862"/>
    <col width="10.875" customWidth="1" style="93" min="14863" max="14863"/>
    <col width="9" customWidth="1" style="93" min="14864" max="15100"/>
    <col width="2.25" customWidth="1" style="93" min="15101" max="15101"/>
    <col width="11.75" customWidth="1" style="93" min="15102" max="15103"/>
    <col width="10.5" customWidth="1" style="93" min="15104" max="15104"/>
    <col width="4.5" customWidth="1" style="93" min="15105" max="15105"/>
    <col width="3" customWidth="1" style="93" min="15106" max="15106"/>
    <col width="4.5" customWidth="1" style="93" min="15107" max="15107"/>
    <col width="3.25" customWidth="1" style="93" min="15108" max="15108"/>
    <col width="4.5" customWidth="1" style="93" min="15109" max="15109"/>
    <col width="4.875" customWidth="1" style="93" min="15110" max="15110"/>
    <col width="9" customWidth="1" style="93" min="15111" max="15111"/>
    <col width="4.75" customWidth="1" style="93" min="15112" max="15112"/>
    <col width="4" customWidth="1" style="93" min="15113" max="15115"/>
    <col width="3.375" customWidth="1" style="93" min="15116" max="15116"/>
    <col width="3.625" customWidth="1" style="93" min="15117" max="15117"/>
    <col width="3.875" customWidth="1" style="93" min="15118" max="15118"/>
    <col width="10.875" customWidth="1" style="93" min="15119" max="15119"/>
    <col width="9" customWidth="1" style="93" min="15120" max="15356"/>
    <col width="2.25" customWidth="1" style="93" min="15357" max="15357"/>
    <col width="11.75" customWidth="1" style="93" min="15358" max="15359"/>
    <col width="10.5" customWidth="1" style="93" min="15360" max="15360"/>
    <col width="4.5" customWidth="1" style="93" min="15361" max="15361"/>
    <col width="3" customWidth="1" style="93" min="15362" max="15362"/>
    <col width="4.5" customWidth="1" style="93" min="15363" max="15363"/>
    <col width="3.25" customWidth="1" style="93" min="15364" max="15364"/>
    <col width="4.5" customWidth="1" style="93" min="15365" max="15365"/>
    <col width="4.875" customWidth="1" style="93" min="15366" max="15366"/>
    <col width="9" customWidth="1" style="93" min="15367" max="15367"/>
    <col width="4.75" customWidth="1" style="93" min="15368" max="15368"/>
    <col width="4" customWidth="1" style="93" min="15369" max="15371"/>
    <col width="3.375" customWidth="1" style="93" min="15372" max="15372"/>
    <col width="3.625" customWidth="1" style="93" min="15373" max="15373"/>
    <col width="3.875" customWidth="1" style="93" min="15374" max="15374"/>
    <col width="10.875" customWidth="1" style="93" min="15375" max="15375"/>
    <col width="9" customWidth="1" style="93" min="15376" max="15612"/>
    <col width="2.25" customWidth="1" style="93" min="15613" max="15613"/>
    <col width="11.75" customWidth="1" style="93" min="15614" max="15615"/>
    <col width="10.5" customWidth="1" style="93" min="15616" max="15616"/>
    <col width="4.5" customWidth="1" style="93" min="15617" max="15617"/>
    <col width="3" customWidth="1" style="93" min="15618" max="15618"/>
    <col width="4.5" customWidth="1" style="93" min="15619" max="15619"/>
    <col width="3.25" customWidth="1" style="93" min="15620" max="15620"/>
    <col width="4.5" customWidth="1" style="93" min="15621" max="15621"/>
    <col width="4.875" customWidth="1" style="93" min="15622" max="15622"/>
    <col width="9" customWidth="1" style="93" min="15623" max="15623"/>
    <col width="4.75" customWidth="1" style="93" min="15624" max="15624"/>
    <col width="4" customWidth="1" style="93" min="15625" max="15627"/>
    <col width="3.375" customWidth="1" style="93" min="15628" max="15628"/>
    <col width="3.625" customWidth="1" style="93" min="15629" max="15629"/>
    <col width="3.875" customWidth="1" style="93" min="15630" max="15630"/>
    <col width="10.875" customWidth="1" style="93" min="15631" max="15631"/>
    <col width="9" customWidth="1" style="93" min="15632" max="15868"/>
    <col width="2.25" customWidth="1" style="93" min="15869" max="15869"/>
    <col width="11.75" customWidth="1" style="93" min="15870" max="15871"/>
    <col width="10.5" customWidth="1" style="93" min="15872" max="15872"/>
    <col width="4.5" customWidth="1" style="93" min="15873" max="15873"/>
    <col width="3" customWidth="1" style="93" min="15874" max="15874"/>
    <col width="4.5" customWidth="1" style="93" min="15875" max="15875"/>
    <col width="3.25" customWidth="1" style="93" min="15876" max="15876"/>
    <col width="4.5" customWidth="1" style="93" min="15877" max="15877"/>
    <col width="4.875" customWidth="1" style="93" min="15878" max="15878"/>
    <col width="9" customWidth="1" style="93" min="15879" max="15879"/>
    <col width="4.75" customWidth="1" style="93" min="15880" max="15880"/>
    <col width="4" customWidth="1" style="93" min="15881" max="15883"/>
    <col width="3.375" customWidth="1" style="93" min="15884" max="15884"/>
    <col width="3.625" customWidth="1" style="93" min="15885" max="15885"/>
    <col width="3.875" customWidth="1" style="93" min="15886" max="15886"/>
    <col width="10.875" customWidth="1" style="93" min="15887" max="15887"/>
    <col width="9" customWidth="1" style="93" min="15888" max="16124"/>
    <col width="2.25" customWidth="1" style="93" min="16125" max="16125"/>
    <col width="11.75" customWidth="1" style="93" min="16126" max="16127"/>
    <col width="10.5" customWidth="1" style="93" min="16128" max="16128"/>
    <col width="4.5" customWidth="1" style="93" min="16129" max="16129"/>
    <col width="3" customWidth="1" style="93" min="16130" max="16130"/>
    <col width="4.5" customWidth="1" style="93" min="16131" max="16131"/>
    <col width="3.25" customWidth="1" style="93" min="16132" max="16132"/>
    <col width="4.5" customWidth="1" style="93" min="16133" max="16133"/>
    <col width="4.875" customWidth="1" style="93" min="16134" max="16134"/>
    <col width="9" customWidth="1" style="93" min="16135" max="16135"/>
    <col width="4.75" customWidth="1" style="93" min="16136" max="16136"/>
    <col width="4" customWidth="1" style="93" min="16137" max="16139"/>
    <col width="3.375" customWidth="1" style="93" min="16140" max="16140"/>
    <col width="3.625" customWidth="1" style="93" min="16141" max="16141"/>
    <col width="3.875" customWidth="1" style="93" min="16142" max="16142"/>
    <col width="10.875" customWidth="1" style="93" min="16143" max="16143"/>
    <col width="9" customWidth="1" style="93" min="16144" max="16384"/>
  </cols>
  <sheetData>
    <row r="1" ht="18.75" customHeight="1" s="643">
      <c r="A1" s="698">
        <f>IF(AND($V$83=0,COUNTA($B$46:$D$66,$B$26:$Q$45)&gt;0),"★前入力分が残っています【Clearボタン】を押下してください",IF(OR(COUNTIFS($D$26:$D$47,"0")&lt;&gt;0,COUNTIFS($J$26:$J$47,"0")&lt;&gt;0),"★勤務表の備考欄に、休暇取得理由の記載がない日があります",IF(AND(COUNTA($C$26:$C$47)=0,$V$83&lt;&gt;0),"★休暇日と理由を入力しましょう",IF(COUNTA($C$47:$C$57)&lt;&gt;0,"★はみ出ていますH26へ値貼り付けしててください",IF(COUNTA($C$26:$C$47,$I$26:$I$45)&lt;&gt;$V$83,"★休暇取得日数が勤務表の数と異なっています","休暇申請書")))))</f>
        <v/>
      </c>
      <c r="B1" s="699" t="n"/>
      <c r="C1" s="699" t="n"/>
      <c r="D1" s="699" t="n"/>
      <c r="E1" s="699" t="n"/>
      <c r="F1" s="699" t="n"/>
      <c r="G1" s="699" t="n"/>
      <c r="H1" s="699" t="n"/>
      <c r="I1" s="699" t="n"/>
      <c r="J1" s="699" t="n"/>
      <c r="K1" s="699" t="n"/>
      <c r="L1" s="699" t="n"/>
      <c r="M1" s="699" t="n"/>
      <c r="N1" s="699" t="n"/>
      <c r="O1" s="699" t="n"/>
      <c r="P1" s="699" t="n"/>
      <c r="Q1" s="700" t="n"/>
    </row>
    <row r="2" ht="18.75" customHeight="1" s="643">
      <c r="A2" s="701" t="n"/>
      <c r="Q2" s="702" t="n"/>
    </row>
    <row r="3" ht="18.75" customHeight="1" s="643" thickBot="1">
      <c r="A3" s="701" t="n"/>
      <c r="Q3" s="702" t="n"/>
    </row>
    <row r="4" ht="16.5" customHeight="1" s="643" thickBot="1">
      <c r="A4" s="185" t="n"/>
      <c r="B4" s="350" t="n"/>
      <c r="C4" s="350" t="n"/>
      <c r="D4" s="410" t="n"/>
      <c r="E4" s="350" t="n"/>
      <c r="F4" s="350" t="n"/>
      <c r="G4" s="350" t="n"/>
      <c r="H4" s="424" t="n"/>
      <c r="I4" s="350" t="n"/>
      <c r="J4" s="350" t="n"/>
      <c r="K4" s="554" t="inlineStr">
        <is>
          <t>PD</t>
        </is>
      </c>
      <c r="L4" s="382" t="inlineStr">
        <is>
          <t>担当者</t>
        </is>
      </c>
      <c r="M4" s="350" t="n"/>
      <c r="N4" s="350" t="n"/>
      <c r="O4" s="350" t="n"/>
      <c r="P4" s="350" t="n"/>
      <c r="Q4" s="396" t="n"/>
    </row>
    <row r="5" ht="18" customFormat="1" customHeight="1" s="200">
      <c r="A5" s="397" t="n"/>
      <c r="B5" s="523">
        <f>勤務表!$S$4</f>
        <v/>
      </c>
      <c r="C5" s="703" t="n"/>
      <c r="D5" s="703" t="n"/>
      <c r="E5" s="387" t="n"/>
      <c r="F5" s="386" t="n"/>
      <c r="G5" s="385" t="n"/>
      <c r="H5" s="425" t="n"/>
      <c r="I5" s="385" t="n"/>
      <c r="J5" s="385" t="n"/>
      <c r="K5" s="704" t="inlineStr">
        <is>
          <t>印</t>
        </is>
      </c>
      <c r="L5" s="705" t="inlineStr">
        <is>
          <t>印</t>
        </is>
      </c>
      <c r="M5" s="350" t="n"/>
      <c r="N5" s="350" t="n"/>
      <c r="O5" s="350" t="n"/>
      <c r="P5" s="350" t="n"/>
      <c r="Q5" s="396" t="n"/>
      <c r="Z5" s="93" t="n"/>
    </row>
    <row r="6" ht="27.75" customHeight="1" s="643">
      <c r="A6" s="185" t="n"/>
      <c r="B6" s="94" t="inlineStr">
        <is>
          <t>代表取締役　　坂本　一也　様</t>
        </is>
      </c>
      <c r="C6" s="95" t="n"/>
      <c r="D6" s="411" t="n"/>
      <c r="E6" s="388" t="n"/>
      <c r="F6" s="384" t="n"/>
      <c r="G6" s="384" t="n"/>
      <c r="H6" s="426" t="n"/>
      <c r="I6" s="384" t="n"/>
      <c r="J6" s="384" t="n"/>
      <c r="K6" s="706" t="n"/>
      <c r="L6" s="706" t="n"/>
      <c r="M6" s="350" t="n"/>
      <c r="N6" s="350" t="n"/>
      <c r="O6" s="350" t="n"/>
      <c r="P6" s="350" t="n"/>
      <c r="Q6" s="396" t="n"/>
    </row>
    <row r="7" ht="18" customHeight="1" s="643" thickBot="1">
      <c r="A7" s="185" t="n"/>
      <c r="B7" s="350" t="n"/>
      <c r="C7" s="350" t="n"/>
      <c r="D7" s="410" t="n"/>
      <c r="E7" s="350" t="n"/>
      <c r="F7" s="350" t="n"/>
      <c r="G7" s="350" t="n"/>
      <c r="H7" s="424" t="n"/>
      <c r="I7" s="350" t="n"/>
      <c r="J7" s="350" t="n"/>
      <c r="K7" s="707" t="n"/>
      <c r="L7" s="708" t="n"/>
      <c r="M7" s="350" t="n"/>
      <c r="N7" s="350" t="n"/>
      <c r="O7" s="350" t="n"/>
      <c r="P7" s="350" t="n"/>
      <c r="Q7" s="396" t="n"/>
      <c r="Z7" s="322" t="n"/>
    </row>
    <row r="8" ht="27" customHeight="1" s="643" thickBot="1">
      <c r="A8" s="197" t="n"/>
      <c r="B8" s="198" t="n"/>
      <c r="C8" s="198" t="n"/>
      <c r="D8" s="412" t="n"/>
      <c r="E8" s="198" t="n"/>
      <c r="F8" s="198" t="n"/>
      <c r="G8" s="198" t="n"/>
      <c r="H8" s="427" t="n"/>
      <c r="I8" s="198" t="n"/>
      <c r="J8" s="198" t="n"/>
      <c r="K8" s="198" t="n"/>
      <c r="L8" s="198" t="n"/>
      <c r="M8" s="198" t="n"/>
      <c r="N8" s="198" t="n"/>
      <c r="O8" s="198" t="n"/>
      <c r="P8" s="198" t="n"/>
      <c r="Q8" s="398" t="n"/>
      <c r="Z8" s="322" t="n"/>
    </row>
    <row r="9" ht="41.25" customHeight="1" s="643" thickBot="1">
      <c r="A9" s="709" t="inlineStr">
        <is>
          <t>申請日</t>
        </is>
      </c>
      <c r="B9" s="710" t="n"/>
      <c r="C9" s="711">
        <f>Data!T3</f>
        <v/>
      </c>
      <c r="D9" s="696" t="n"/>
      <c r="E9" s="696" t="n"/>
      <c r="F9" s="696" t="n"/>
      <c r="G9" s="696" t="n"/>
      <c r="H9" s="696" t="n"/>
      <c r="I9" s="696" t="n"/>
      <c r="J9" s="696" t="n"/>
      <c r="K9" s="696" t="n"/>
      <c r="L9" s="696" t="n"/>
      <c r="M9" s="696" t="n"/>
      <c r="N9" s="696" t="n"/>
      <c r="O9" s="696" t="n"/>
      <c r="P9" s="696" t="n"/>
      <c r="Q9" s="712" t="n"/>
      <c r="Z9" s="322" t="n"/>
    </row>
    <row r="10" ht="14.25" customHeight="1" s="643" thickBot="1">
      <c r="A10" s="498" t="inlineStr">
        <is>
          <t>氏名</t>
        </is>
      </c>
      <c r="B10" s="713" t="n"/>
      <c r="C10" s="190" t="n"/>
      <c r="D10" s="413" t="n"/>
      <c r="E10" s="190" t="n"/>
      <c r="F10" s="190" t="n"/>
      <c r="G10" s="190" t="n"/>
      <c r="H10" s="428" t="n"/>
      <c r="I10" s="190" t="n"/>
      <c r="J10" s="190" t="n"/>
      <c r="K10" s="190" t="n"/>
      <c r="L10" s="190" t="n"/>
      <c r="M10" s="190" t="n"/>
      <c r="N10" s="190" t="n"/>
      <c r="O10" s="190" t="n"/>
      <c r="P10" s="190" t="n"/>
      <c r="Q10" s="399" t="n"/>
    </row>
    <row r="11" ht="14.25" customHeight="1" s="643" thickBot="1">
      <c r="A11" s="701" t="n"/>
      <c r="B11" s="714" t="n"/>
      <c r="C11" s="345" t="n"/>
      <c r="D11" s="414" t="n"/>
      <c r="E11" s="510">
        <f>勤務表!$S$5</f>
        <v/>
      </c>
      <c r="J11" s="346" t="n"/>
      <c r="K11" s="346" t="n"/>
      <c r="L11" s="347" t="n"/>
      <c r="M11" s="347" t="n"/>
      <c r="N11" s="347" t="n"/>
      <c r="O11" s="347" t="n"/>
      <c r="P11" s="347" t="n"/>
      <c r="Q11" s="400" t="n"/>
    </row>
    <row r="12" ht="14.25" customHeight="1" s="643" thickBot="1">
      <c r="A12" s="701" t="n"/>
      <c r="B12" s="714" t="n"/>
      <c r="C12" s="345" t="n"/>
      <c r="D12" s="414" t="n"/>
      <c r="J12" s="505" t="inlineStr">
        <is>
          <t>印</t>
        </is>
      </c>
      <c r="K12" s="346" t="n"/>
      <c r="L12" s="504" t="n"/>
      <c r="M12" s="504" t="n"/>
      <c r="N12" s="504" t="n"/>
      <c r="O12" s="504" t="n"/>
      <c r="P12" s="504" t="n"/>
      <c r="Q12" s="400" t="n"/>
    </row>
    <row r="13" ht="14.25" customHeight="1" s="643" thickBot="1">
      <c r="A13" s="715" t="n"/>
      <c r="B13" s="716" t="n"/>
      <c r="C13" s="192" t="n"/>
      <c r="D13" s="415" t="n"/>
      <c r="E13" s="193" t="n"/>
      <c r="F13" s="193" t="n"/>
      <c r="G13" s="193" t="n"/>
      <c r="H13" s="193" t="n"/>
      <c r="I13" s="193" t="n"/>
      <c r="J13" s="717" t="n"/>
      <c r="K13" s="193" t="n"/>
      <c r="L13" s="505" t="n"/>
      <c r="M13" s="505" t="n"/>
      <c r="N13" s="505" t="n"/>
      <c r="O13" s="505" t="n"/>
      <c r="P13" s="505" t="n"/>
      <c r="Q13" s="401" t="n"/>
    </row>
    <row r="14" ht="14.25" customHeight="1" s="643" thickBot="1">
      <c r="A14" s="498" t="inlineStr">
        <is>
          <t>適用期間</t>
        </is>
      </c>
      <c r="B14" s="713" t="n"/>
      <c r="C14" s="190" t="n"/>
      <c r="D14" s="413" t="n"/>
      <c r="E14" s="190" t="n"/>
      <c r="F14" s="190" t="n"/>
      <c r="G14" s="190" t="n"/>
      <c r="H14" s="428" t="n"/>
      <c r="I14" s="190" t="n"/>
      <c r="J14" s="190" t="n"/>
      <c r="K14" s="190" t="n"/>
      <c r="L14" s="190" t="n"/>
      <c r="M14" s="190" t="n"/>
      <c r="N14" s="190" t="n"/>
      <c r="O14" s="190" t="n"/>
      <c r="P14" s="190" t="n"/>
      <c r="Q14" s="399" t="n"/>
    </row>
    <row r="15" ht="14.25" customHeight="1" s="643" thickBot="1">
      <c r="A15" s="701" t="n"/>
      <c r="B15" s="714" t="n"/>
      <c r="C15" s="718">
        <f>IF(AND($T$84=$S$84,$S$84&lt;&gt;""),$S$84,$S$84&amp;"    ～    "&amp;$T$84)</f>
        <v/>
      </c>
      <c r="Q15" s="702" t="n"/>
    </row>
    <row r="16" ht="17.25" customHeight="1" s="643" thickBot="1">
      <c r="A16" s="701" t="n"/>
      <c r="B16" s="714" t="n"/>
      <c r="C16" s="719" t="n"/>
      <c r="Q16" s="702" t="n"/>
    </row>
    <row r="17" ht="24.75" customHeight="1" s="643" thickBot="1">
      <c r="A17" s="701" t="n"/>
      <c r="B17" s="714" t="n"/>
      <c r="C17" s="128" t="n"/>
      <c r="D17" s="720" t="n"/>
      <c r="E17" s="721" t="n"/>
      <c r="F17" s="721" t="n"/>
      <c r="G17" s="721" t="n"/>
      <c r="H17" s="721" t="n"/>
      <c r="I17" s="722" t="inlineStr">
        <is>
          <t>休暇取得日数</t>
        </is>
      </c>
      <c r="K17" s="383">
        <f>SUM($V$88:$V$234)</f>
        <v/>
      </c>
      <c r="L17" s="723" t="inlineStr">
        <is>
          <t>日間</t>
        </is>
      </c>
      <c r="M17" s="384" t="n"/>
      <c r="N17" s="384" t="n"/>
      <c r="O17" s="384" t="n"/>
      <c r="P17" s="384" t="n"/>
      <c r="Q17" s="191" t="n"/>
    </row>
    <row r="18" ht="8.25" customHeight="1" s="643" thickBot="1">
      <c r="A18" s="715" t="n"/>
      <c r="B18" s="716" t="n"/>
      <c r="C18" s="195" t="n"/>
      <c r="D18" s="417" t="n"/>
      <c r="E18" s="194" t="n"/>
      <c r="F18" s="194" t="n"/>
      <c r="G18" s="194" t="n"/>
      <c r="H18" s="429" t="n"/>
      <c r="I18" s="194" t="n"/>
      <c r="J18" s="194" t="n"/>
      <c r="K18" s="194" t="n"/>
      <c r="L18" s="194" t="n"/>
      <c r="M18" s="194" t="n"/>
      <c r="N18" s="194" t="n"/>
      <c r="O18" s="194" t="n"/>
      <c r="P18" s="194" t="n"/>
      <c r="Q18" s="402" t="n"/>
    </row>
    <row r="19" ht="15.75" customHeight="1" s="643">
      <c r="A19" s="183" t="n"/>
      <c r="B19" s="184" t="n"/>
      <c r="C19" s="196" t="n"/>
      <c r="D19" s="418" t="n"/>
      <c r="E19" s="184" t="n"/>
      <c r="F19" s="184" t="n"/>
      <c r="G19" s="184" t="n"/>
      <c r="H19" s="430" t="n"/>
      <c r="I19" s="184" t="n"/>
      <c r="J19" s="184" t="n"/>
      <c r="K19" s="184" t="n"/>
      <c r="L19" s="184" t="n"/>
      <c r="M19" s="184" t="n"/>
      <c r="N19" s="184" t="n"/>
      <c r="O19" s="184" t="n"/>
      <c r="P19" s="184" t="n"/>
      <c r="Q19" s="403" t="n"/>
    </row>
    <row r="20" ht="32.25" customHeight="1" s="643">
      <c r="A20" s="185" t="n"/>
      <c r="B20" s="350" t="n"/>
      <c r="C20" s="351" t="inlineStr">
        <is>
          <t>種類</t>
        </is>
      </c>
      <c r="D20" s="419">
        <f>IF(OR(COUNTIF(Data!G:G,"有給休暇")&gt;=1,COUNTIF(Data!G:G,"有給休暇（半日）")&gt;=1),"■","□")</f>
        <v/>
      </c>
      <c r="E20" s="96" t="inlineStr">
        <is>
          <t>有給休暇</t>
        </is>
      </c>
      <c r="F20" s="96" t="n"/>
      <c r="G20" s="96" t="n"/>
      <c r="H20" s="96" t="n"/>
      <c r="I20" s="352" t="n"/>
      <c r="J20" s="352" t="n"/>
      <c r="K20" s="352" t="n"/>
      <c r="L20" s="353" t="n"/>
      <c r="M20" s="350" t="n"/>
      <c r="N20" s="350" t="n"/>
      <c r="O20" s="350" t="n"/>
      <c r="P20" s="350" t="n"/>
      <c r="Q20" s="396" t="n"/>
    </row>
    <row r="21" ht="32.25" customHeight="1" s="643">
      <c r="A21" s="185" t="n"/>
      <c r="B21" s="350" t="n"/>
      <c r="C21" s="350" t="n"/>
      <c r="D21" s="336">
        <f>IF(OR(COUNTIF(Data!G:G,"振替休暇")&gt;=1,COUNTIF(Data!G:G,"振替休暇（半日）")&gt;=1),"■","□")</f>
        <v/>
      </c>
      <c r="E21" s="336">
        <f>"代休　（  "&amp;IF(D21="■",VLOOKUP(SMALL($T$165:$T$227,1),$T$165:$U$227,2,FALSE)&amp;"　）"," 　　月　 日分　）")</f>
        <v/>
      </c>
      <c r="F21" s="188" t="n"/>
      <c r="G21" s="189" t="n"/>
      <c r="H21" s="189" t="n"/>
      <c r="I21" s="354" t="n"/>
      <c r="J21" s="354" t="n"/>
      <c r="K21" s="354" t="n"/>
      <c r="L21" s="354" t="n"/>
      <c r="M21" s="350" t="n"/>
      <c r="N21" s="350" t="n"/>
      <c r="O21" s="350" t="n"/>
      <c r="P21" s="350" t="n"/>
      <c r="Q21" s="396" t="n"/>
    </row>
    <row r="22" ht="32.25" customHeight="1" s="643">
      <c r="A22" s="185" t="n"/>
      <c r="B22" s="497" t="n"/>
      <c r="D22" s="419">
        <f>IF(OR(COUNTIF(Data!$J:$J,"夏"),COUNTIF(Data!$J:$J,"冬")),"■","□")</f>
        <v/>
      </c>
      <c r="E22" s="493">
        <f>IF(D22="■",IF(AND(COUNTIF(Data!$J:$J,"夏")&gt;=1,COUNTIF(Data!$J:$J,"冬")&gt;=1),"夏・冬季休暇が混在しています勤務表の備考を確認してください",IF(COUNTIF(Data!$J:$J,"夏")&gt;=1,"夏季休暇",IF(COUNTIF(Data!$J:$J,"冬")&gt;=1,"冬季休暇","Null"))),"（　　　　　）休暇")</f>
        <v/>
      </c>
      <c r="J22" s="378" t="n"/>
      <c r="K22" s="378" t="n"/>
      <c r="L22" s="378" t="n"/>
      <c r="M22" s="378" t="n"/>
      <c r="N22" s="378" t="n"/>
      <c r="O22" s="378" t="n"/>
      <c r="P22" s="378" t="n"/>
      <c r="Q22" s="379" t="n"/>
    </row>
    <row r="23" ht="32.25" customHeight="1" s="643">
      <c r="A23" s="185" t="n"/>
      <c r="B23" s="491" t="n"/>
      <c r="D23" s="420">
        <f>IF(COUNTIF(Data!G:G,"慶弔休暇")&gt;=1,"■","□")</f>
        <v/>
      </c>
      <c r="E23" s="268">
        <f>"その他（　"&amp;IF(D23="■","慶弔休暇","")&amp;"　）"</f>
        <v/>
      </c>
      <c r="F23" s="97" t="n"/>
      <c r="G23" s="97" t="n"/>
      <c r="H23" s="97" t="n"/>
      <c r="I23" s="355" t="n"/>
      <c r="J23" s="355" t="n"/>
      <c r="K23" s="355" t="n"/>
      <c r="L23" s="356" t="n"/>
      <c r="M23" s="357" t="n"/>
      <c r="N23" s="350" t="n"/>
      <c r="O23" s="350" t="n"/>
      <c r="P23" s="350" t="n"/>
      <c r="Q23" s="396" t="n"/>
    </row>
    <row r="24" ht="19.5" customHeight="1" s="643" thickBot="1">
      <c r="A24" s="197" t="n"/>
      <c r="B24" s="198" t="n"/>
      <c r="C24" s="198" t="n"/>
      <c r="D24" s="199" t="n"/>
      <c r="E24" s="199" t="n"/>
      <c r="F24" s="199" t="n"/>
      <c r="G24" s="199" t="n"/>
      <c r="H24" s="431" t="n"/>
      <c r="I24" s="199" t="n"/>
      <c r="J24" s="199" t="n"/>
      <c r="K24" s="198" t="n"/>
      <c r="L24" s="198" t="n"/>
      <c r="M24" s="198" t="n"/>
      <c r="N24" s="198" t="n"/>
      <c r="O24" s="198" t="n"/>
      <c r="P24" s="198" t="n"/>
      <c r="Q24" s="398" t="n"/>
    </row>
    <row r="25" ht="28.5" customHeight="1" s="643" thickBot="1">
      <c r="A25" s="724" t="inlineStr">
        <is>
          <t>理由</t>
        </is>
      </c>
      <c r="B25" s="696" t="n"/>
      <c r="C25" s="696" t="n"/>
      <c r="D25" s="696" t="n"/>
      <c r="E25" s="696" t="n"/>
      <c r="F25" s="696" t="n"/>
      <c r="G25" s="696" t="n"/>
      <c r="H25" s="696" t="n"/>
      <c r="I25" s="696" t="n"/>
      <c r="J25" s="696" t="n"/>
      <c r="K25" s="696" t="n"/>
      <c r="L25" s="696" t="n"/>
      <c r="M25" s="696" t="n"/>
      <c r="N25" s="696" t="n"/>
      <c r="O25" s="696" t="n"/>
      <c r="P25" s="696" t="n"/>
      <c r="Q25" s="712" t="n"/>
    </row>
    <row r="26" ht="32.25" customHeight="1" s="643">
      <c r="A26" s="186" t="n"/>
      <c r="B26" s="725" t="n"/>
      <c r="C26" s="726" t="inlineStr">
        <is>
          <t>B</t>
        </is>
      </c>
      <c r="D26" s="237" t="n"/>
      <c r="E26" s="238" t="n"/>
      <c r="F26" s="389" t="n"/>
      <c r="G26" s="384" t="n"/>
      <c r="H26" s="727" t="n"/>
      <c r="I26" s="728" t="n"/>
      <c r="J26" s="338" t="n"/>
      <c r="K26" s="359" t="n"/>
      <c r="L26" s="359" t="n"/>
      <c r="M26" s="359" t="n"/>
      <c r="N26" s="359" t="n"/>
      <c r="O26" s="359" t="n"/>
      <c r="P26" s="359" t="n"/>
      <c r="Q26" s="360" t="n"/>
      <c r="Z26" s="322" t="n"/>
    </row>
    <row r="27" ht="20.25" customHeight="1" s="643">
      <c r="A27" s="185" t="n"/>
      <c r="B27" s="729" t="inlineStr">
        <is>
          <t>■振替休暇</t>
        </is>
      </c>
      <c r="C27" s="730" t="n">
        <v>44281</v>
      </c>
      <c r="D27" s="370" t="inlineStr">
        <is>
          <t xml:space="preserve"> 【振替休暇】3/13(土)フロント講習会の振り替え</t>
        </is>
      </c>
      <c r="E27" s="341" t="n"/>
      <c r="F27" s="389" t="n"/>
      <c r="G27" s="384" t="n"/>
      <c r="H27" s="727" t="n"/>
      <c r="I27" s="731" t="n"/>
      <c r="J27" s="377" t="n"/>
      <c r="K27" s="362" t="n"/>
      <c r="L27" s="362" t="n"/>
      <c r="M27" s="362" t="n"/>
      <c r="N27" s="362" t="n"/>
      <c r="O27" s="362" t="n"/>
      <c r="P27" s="362" t="n"/>
      <c r="Q27" s="363" t="n"/>
      <c r="Z27" s="322" t="n"/>
    </row>
    <row r="28" ht="20.25" customHeight="1" s="643">
      <c r="A28" s="185" t="n"/>
      <c r="B28" s="729" t="n"/>
      <c r="C28" s="730" t="n"/>
      <c r="D28" s="370" t="n"/>
      <c r="E28" s="732" t="n"/>
      <c r="F28" s="389" t="n"/>
      <c r="G28" s="384" t="n"/>
      <c r="H28" s="727" t="n"/>
      <c r="I28" s="733" t="n"/>
      <c r="J28" s="377" t="n"/>
      <c r="K28" s="364" t="n"/>
      <c r="L28" s="364" t="n"/>
      <c r="M28" s="364" t="n"/>
      <c r="N28" s="364" t="n"/>
      <c r="O28" s="364" t="n"/>
      <c r="P28" s="364" t="n"/>
      <c r="Q28" s="404" t="n"/>
      <c r="Z28" s="322" t="n"/>
    </row>
    <row r="29" ht="20.25" customHeight="1" s="643">
      <c r="A29" s="185" t="n"/>
      <c r="B29" s="729" t="n"/>
      <c r="C29" s="730" t="n"/>
      <c r="D29" s="370" t="n"/>
      <c r="E29" s="732" t="n"/>
      <c r="F29" s="389" t="n"/>
      <c r="G29" s="384" t="n"/>
      <c r="H29" s="727" t="n"/>
      <c r="I29" s="733" t="n"/>
      <c r="J29" s="377" t="n"/>
      <c r="K29" s="364" t="n"/>
      <c r="L29" s="364" t="n"/>
      <c r="M29" s="364" t="n"/>
      <c r="N29" s="364" t="n"/>
      <c r="O29" s="364" t="n"/>
      <c r="P29" s="364" t="n"/>
      <c r="Q29" s="404" t="n"/>
      <c r="Z29" s="322" t="n"/>
    </row>
    <row r="30" ht="20.25" customHeight="1" s="643">
      <c r="A30" s="185" t="n"/>
      <c r="B30" s="729" t="n"/>
      <c r="C30" s="730" t="n"/>
      <c r="D30" s="370" t="n"/>
      <c r="E30" s="732" t="n"/>
      <c r="F30" s="361" t="n"/>
      <c r="G30" s="361" t="n"/>
      <c r="H30" s="734" t="n"/>
      <c r="I30" s="729" t="n"/>
      <c r="J30" s="367" t="n"/>
      <c r="K30" s="364" t="n"/>
      <c r="L30" s="366" t="n"/>
      <c r="M30" s="366" t="n"/>
      <c r="N30" s="366" t="n"/>
      <c r="O30" s="366" t="n"/>
      <c r="P30" s="366" t="n"/>
      <c r="Q30" s="405" t="n"/>
    </row>
    <row r="31" ht="20.25" customHeight="1" s="643">
      <c r="A31" s="185" t="n"/>
      <c r="B31" s="729" t="n"/>
      <c r="C31" s="730" t="n"/>
      <c r="D31" s="370" t="n"/>
      <c r="E31" s="732" t="n"/>
      <c r="F31" s="361" t="n"/>
      <c r="G31" s="361" t="n"/>
      <c r="H31" s="734" t="n"/>
      <c r="I31" s="729" t="n"/>
      <c r="J31" s="367" t="n"/>
      <c r="K31" s="364" t="n"/>
      <c r="L31" s="366" t="n"/>
      <c r="M31" s="366" t="n"/>
      <c r="N31" s="366" t="n"/>
      <c r="O31" s="366" t="n"/>
      <c r="P31" s="366" t="n"/>
      <c r="Q31" s="405" t="n"/>
    </row>
    <row r="32" ht="20.25" customHeight="1" s="643">
      <c r="A32" s="185" t="n"/>
      <c r="B32" s="729" t="n"/>
      <c r="C32" s="730" t="n"/>
      <c r="D32" s="370" t="n"/>
      <c r="E32" s="732" t="n"/>
      <c r="F32" s="361" t="n"/>
      <c r="G32" s="361" t="n"/>
      <c r="H32" s="734" t="n"/>
      <c r="I32" s="729" t="n"/>
      <c r="J32" s="367" t="n"/>
      <c r="K32" s="364" t="n"/>
      <c r="L32" s="366" t="n"/>
      <c r="M32" s="366" t="n"/>
      <c r="N32" s="366" t="n"/>
      <c r="O32" s="366" t="n"/>
      <c r="P32" s="366" t="n"/>
      <c r="Q32" s="405" t="n"/>
    </row>
    <row r="33" ht="20.25" customHeight="1" s="643">
      <c r="A33" s="185" t="n"/>
      <c r="B33" s="729" t="n"/>
      <c r="C33" s="730" t="n"/>
      <c r="D33" s="370" t="n"/>
      <c r="E33" s="732" t="n"/>
      <c r="F33" s="367" t="n"/>
      <c r="G33" s="367" t="n"/>
      <c r="H33" s="734" t="n"/>
      <c r="I33" s="729" t="n"/>
      <c r="J33" s="367" t="n"/>
      <c r="K33" s="364" t="n"/>
      <c r="L33" s="366" t="n"/>
      <c r="M33" s="366" t="n"/>
      <c r="N33" s="366" t="n"/>
      <c r="O33" s="366" t="n"/>
      <c r="P33" s="366" t="n"/>
      <c r="Q33" s="405" t="n"/>
    </row>
    <row r="34" ht="20.25" customHeight="1" s="643">
      <c r="A34" s="185" t="n"/>
      <c r="B34" s="729" t="n"/>
      <c r="C34" s="730" t="n"/>
      <c r="D34" s="370" t="n"/>
      <c r="E34" s="732" t="n"/>
      <c r="F34" s="361" t="n"/>
      <c r="G34" s="361" t="n"/>
      <c r="H34" s="734" t="n"/>
      <c r="I34" s="729" t="n"/>
      <c r="J34" s="367" t="n"/>
      <c r="K34" s="364" t="n"/>
      <c r="L34" s="364" t="n"/>
      <c r="M34" s="364" t="n"/>
      <c r="N34" s="364" t="n"/>
      <c r="O34" s="364" t="n"/>
      <c r="P34" s="364" t="n"/>
      <c r="Q34" s="404" t="n"/>
    </row>
    <row r="35" ht="20.25" customHeight="1" s="643">
      <c r="A35" s="185" t="n"/>
      <c r="B35" s="729" t="n"/>
      <c r="C35" s="730" t="n"/>
      <c r="D35" s="370" t="n"/>
      <c r="E35" s="732" t="n"/>
      <c r="F35" s="361" t="n"/>
      <c r="G35" s="361" t="n"/>
      <c r="H35" s="734" t="n"/>
      <c r="I35" s="729" t="n"/>
      <c r="J35" s="367" t="n"/>
      <c r="K35" s="364" t="n"/>
      <c r="L35" s="364" t="n"/>
      <c r="M35" s="364" t="n"/>
      <c r="N35" s="364" t="n"/>
      <c r="O35" s="364" t="n"/>
      <c r="P35" s="364" t="n"/>
      <c r="Q35" s="404" t="n"/>
    </row>
    <row r="36" ht="20.25" customHeight="1" s="643">
      <c r="A36" s="185" t="n"/>
      <c r="B36" s="729" t="n"/>
      <c r="C36" s="730" t="n"/>
      <c r="D36" s="370" t="n"/>
      <c r="E36" s="732" t="n"/>
      <c r="F36" s="361" t="n"/>
      <c r="G36" s="361" t="n"/>
      <c r="H36" s="734" t="n"/>
      <c r="I36" s="729" t="n"/>
      <c r="J36" s="367" t="n"/>
      <c r="K36" s="364" t="n"/>
      <c r="L36" s="364" t="n"/>
      <c r="M36" s="364" t="n"/>
      <c r="N36" s="364" t="n"/>
      <c r="O36" s="364" t="n"/>
      <c r="P36" s="364" t="n"/>
      <c r="Q36" s="404" t="n"/>
    </row>
    <row r="37" ht="20.25" customHeight="1" s="643">
      <c r="A37" s="185" t="n"/>
      <c r="B37" s="729" t="n"/>
      <c r="C37" s="730" t="n"/>
      <c r="D37" s="370" t="n"/>
      <c r="E37" s="732" t="n"/>
      <c r="F37" s="361" t="n"/>
      <c r="G37" s="361" t="n"/>
      <c r="H37" s="734" t="n"/>
      <c r="I37" s="729" t="n"/>
      <c r="J37" s="367" t="n"/>
      <c r="K37" s="364" t="n"/>
      <c r="L37" s="364" t="n"/>
      <c r="M37" s="364" t="n"/>
      <c r="N37" s="364" t="n"/>
      <c r="O37" s="364" t="n"/>
      <c r="P37" s="364" t="n"/>
      <c r="Q37" s="404" t="n"/>
    </row>
    <row r="38" ht="20.25" customHeight="1" s="643">
      <c r="A38" s="185" t="n"/>
      <c r="B38" s="729" t="n"/>
      <c r="C38" s="730" t="n"/>
      <c r="D38" s="370" t="n"/>
      <c r="E38" s="732" t="n"/>
      <c r="F38" s="361" t="n"/>
      <c r="G38" s="361" t="n"/>
      <c r="H38" s="734" t="n"/>
      <c r="I38" s="729" t="n"/>
      <c r="J38" s="367" t="n"/>
      <c r="K38" s="364" t="n"/>
      <c r="L38" s="364" t="n"/>
      <c r="M38" s="364" t="n"/>
      <c r="N38" s="364" t="n"/>
      <c r="O38" s="364" t="n"/>
      <c r="P38" s="364" t="n"/>
      <c r="Q38" s="404" t="n"/>
    </row>
    <row r="39" ht="20.25" customHeight="1" s="643">
      <c r="A39" s="185" t="n"/>
      <c r="B39" s="729" t="n"/>
      <c r="C39" s="730" t="n"/>
      <c r="D39" s="370" t="n"/>
      <c r="E39" s="735" t="n"/>
      <c r="F39" s="361" t="n"/>
      <c r="G39" s="361" t="n"/>
      <c r="H39" s="734" t="n"/>
      <c r="I39" s="729" t="n"/>
      <c r="J39" s="367" t="n"/>
      <c r="K39" s="364" t="n"/>
      <c r="L39" s="364" t="n"/>
      <c r="M39" s="364" t="n"/>
      <c r="N39" s="364" t="n"/>
      <c r="O39" s="364" t="n"/>
      <c r="P39" s="364" t="n"/>
      <c r="Q39" s="404" t="n"/>
    </row>
    <row r="40" ht="20.25" customHeight="1" s="643">
      <c r="A40" s="201" t="n"/>
      <c r="B40" s="442" t="n"/>
      <c r="C40" s="730" t="n"/>
      <c r="D40" s="370" t="n"/>
      <c r="E40" s="344" t="n"/>
      <c r="F40" s="368" t="n"/>
      <c r="G40" s="368" t="n"/>
      <c r="H40" s="736" t="n"/>
      <c r="I40" s="729" t="n"/>
      <c r="J40" s="367" t="n"/>
      <c r="K40" s="364" t="n"/>
      <c r="L40" s="364" t="n"/>
      <c r="M40" s="364" t="n"/>
      <c r="N40" s="364" t="n"/>
      <c r="O40" s="364" t="n"/>
      <c r="P40" s="364" t="n"/>
      <c r="Q40" s="404" t="n"/>
    </row>
    <row r="41" ht="20.25" customHeight="1" s="643">
      <c r="A41" s="185" t="n"/>
      <c r="B41" s="727" t="n"/>
      <c r="C41" s="731" t="n"/>
      <c r="D41" s="377" t="n"/>
      <c r="E41" s="338" t="n"/>
      <c r="F41" s="369" t="n"/>
      <c r="G41" s="369" t="n"/>
      <c r="H41" s="737" t="n"/>
      <c r="I41" s="729" t="n"/>
      <c r="J41" s="367" t="n"/>
      <c r="K41" s="364" t="n"/>
      <c r="L41" s="364" t="n"/>
      <c r="M41" s="364" t="n"/>
      <c r="N41" s="364" t="n"/>
      <c r="O41" s="364" t="n"/>
      <c r="P41" s="364" t="n"/>
      <c r="Q41" s="404" t="n"/>
    </row>
    <row r="42" ht="20.25" customHeight="1" s="643">
      <c r="A42" s="185" t="n"/>
      <c r="B42" s="446" t="n"/>
      <c r="C42" s="731" t="n"/>
      <c r="D42" s="377" t="n"/>
      <c r="E42" s="338" t="n"/>
      <c r="F42" s="369" t="n"/>
      <c r="G42" s="369" t="n"/>
      <c r="H42" s="737" t="n"/>
      <c r="I42" s="733" t="n"/>
      <c r="J42" s="376" t="n"/>
      <c r="K42" s="369" t="n"/>
      <c r="L42" s="369" t="n"/>
      <c r="M42" s="369" t="n"/>
      <c r="N42" s="369" t="n"/>
      <c r="O42" s="369" t="n"/>
      <c r="P42" s="369" t="n"/>
      <c r="Q42" s="365" t="n"/>
    </row>
    <row r="43" ht="20.25" customHeight="1" s="643">
      <c r="A43" s="185" t="n"/>
      <c r="B43" s="446" t="n"/>
      <c r="C43" s="731" t="n"/>
      <c r="D43" s="377" t="n"/>
      <c r="E43" s="369" t="n"/>
      <c r="F43" s="369" t="n"/>
      <c r="G43" s="369" t="n"/>
      <c r="H43" s="737" t="n"/>
      <c r="I43" s="733" t="n"/>
      <c r="J43" s="376" t="n"/>
      <c r="K43" s="369" t="n"/>
      <c r="L43" s="369" t="n"/>
      <c r="M43" s="369" t="n"/>
      <c r="N43" s="369" t="n"/>
      <c r="O43" s="369" t="n"/>
      <c r="P43" s="369" t="n"/>
      <c r="Q43" s="365" t="n"/>
    </row>
    <row r="44" ht="20.25" customHeight="1" s="643">
      <c r="A44" s="185" t="n"/>
      <c r="B44" s="446" t="n"/>
      <c r="C44" s="731" t="n"/>
      <c r="D44" s="377" t="n"/>
      <c r="E44" s="369" t="n"/>
      <c r="F44" s="369" t="n"/>
      <c r="G44" s="369" t="n"/>
      <c r="H44" s="737" t="n"/>
      <c r="I44" s="733" t="n"/>
      <c r="J44" s="376" t="n"/>
      <c r="K44" s="369" t="n"/>
      <c r="L44" s="369" t="n"/>
      <c r="M44" s="369" t="n"/>
      <c r="N44" s="369" t="n"/>
      <c r="O44" s="369" t="n"/>
      <c r="P44" s="369" t="n"/>
      <c r="Q44" s="365" t="n"/>
    </row>
    <row r="45" ht="20.25" customHeight="1" s="643" thickBot="1">
      <c r="A45" s="406" t="n"/>
      <c r="B45" s="444" t="n"/>
      <c r="C45" s="738" t="n"/>
      <c r="D45" s="391" t="n"/>
      <c r="E45" s="393" t="n"/>
      <c r="F45" s="393" t="n"/>
      <c r="G45" s="393" t="n"/>
      <c r="H45" s="739" t="n"/>
      <c r="I45" s="740" t="n"/>
      <c r="J45" s="395" t="n"/>
      <c r="K45" s="393" t="n"/>
      <c r="L45" s="393" t="n"/>
      <c r="M45" s="393" t="n"/>
      <c r="N45" s="393" t="n"/>
      <c r="O45" s="393" t="n"/>
      <c r="P45" s="393" t="n"/>
      <c r="Q45" s="407" t="n"/>
    </row>
    <row r="46" ht="15" customHeight="1" s="643" thickBot="1">
      <c r="A46" s="197" t="n"/>
      <c r="B46" s="445" t="n"/>
      <c r="C46" s="741" t="n"/>
      <c r="D46" s="372" t="n"/>
      <c r="E46" s="241" t="n"/>
      <c r="F46" s="241" t="n"/>
      <c r="G46" s="241" t="n"/>
      <c r="H46" s="437" t="n"/>
      <c r="I46" s="241" t="n"/>
      <c r="J46" s="241" t="n"/>
      <c r="K46" s="241" t="n"/>
      <c r="L46" s="241" t="n"/>
      <c r="M46" s="241" t="n"/>
      <c r="N46" s="241" t="n"/>
      <c r="O46" s="241" t="n"/>
      <c r="P46" s="241" t="n"/>
      <c r="Q46" s="408" t="n"/>
    </row>
    <row r="47" ht="64.5" customHeight="1" s="643">
      <c r="A47" s="384" t="n"/>
      <c r="B47" s="446" t="n"/>
      <c r="C47" s="731" t="n"/>
      <c r="D47" s="377" t="n"/>
      <c r="E47" s="492" t="n"/>
      <c r="J47" s="369" t="n"/>
      <c r="K47" s="369" t="n"/>
      <c r="L47" s="369" t="n"/>
      <c r="M47" s="369" t="n"/>
      <c r="N47" s="369" t="n"/>
      <c r="O47" s="369" t="n"/>
      <c r="P47" s="369" t="n"/>
      <c r="Q47" s="369" t="n"/>
    </row>
    <row r="48" ht="14.25" customHeight="1" s="643">
      <c r="A48" s="384" t="n"/>
      <c r="B48" s="446" t="n"/>
      <c r="C48" s="731" t="n"/>
      <c r="D48" s="377" t="n"/>
      <c r="E48" s="369" t="n"/>
      <c r="F48" s="369" t="n"/>
      <c r="G48" s="369" t="n"/>
      <c r="H48" s="438" t="n"/>
      <c r="I48" s="369" t="n"/>
      <c r="J48" s="369" t="n"/>
      <c r="K48" s="369" t="n"/>
      <c r="L48" s="369" t="n"/>
      <c r="M48" s="369" t="n"/>
      <c r="N48" s="369" t="n"/>
      <c r="O48" s="369" t="n"/>
      <c r="P48" s="369" t="n"/>
      <c r="Q48" s="369" t="n"/>
    </row>
    <row r="49" ht="14.25" customHeight="1" s="643">
      <c r="A49" s="384" t="n"/>
      <c r="B49" s="446" t="n"/>
      <c r="C49" s="731" t="n"/>
      <c r="D49" s="377" t="n"/>
      <c r="E49" s="369" t="n"/>
      <c r="F49" s="369" t="n"/>
      <c r="G49" s="369" t="n"/>
      <c r="H49" s="438" t="n"/>
      <c r="I49" s="369" t="n"/>
      <c r="J49" s="369" t="n"/>
      <c r="K49" s="369" t="n"/>
      <c r="L49" s="369" t="n"/>
      <c r="M49" s="369" t="n"/>
      <c r="N49" s="369" t="n"/>
      <c r="O49" s="369" t="n"/>
      <c r="P49" s="369" t="n"/>
      <c r="Q49" s="369" t="n"/>
    </row>
    <row r="50" ht="14.25" customHeight="1" s="643">
      <c r="A50" s="384" t="n"/>
      <c r="B50" s="446" t="n"/>
      <c r="C50" s="731" t="n"/>
      <c r="D50" s="377" t="n"/>
      <c r="E50" s="369" t="n"/>
      <c r="F50" s="369" t="n"/>
      <c r="G50" s="369" t="n"/>
      <c r="H50" s="438" t="n"/>
      <c r="I50" s="369" t="n"/>
      <c r="J50" s="369" t="n"/>
      <c r="K50" s="369" t="n"/>
      <c r="L50" s="369" t="n"/>
      <c r="M50" s="369" t="n"/>
      <c r="N50" s="369" t="n"/>
      <c r="O50" s="369" t="n"/>
      <c r="P50" s="369" t="n"/>
      <c r="Q50" s="369" t="n"/>
    </row>
    <row r="51" ht="14.25" customHeight="1" s="643">
      <c r="A51" s="384" t="n"/>
      <c r="B51" s="446" t="n"/>
      <c r="C51" s="728" t="n"/>
      <c r="D51" s="338" t="n"/>
      <c r="E51" s="369" t="n"/>
      <c r="F51" s="369" t="n"/>
      <c r="G51" s="369" t="n"/>
      <c r="H51" s="438" t="n"/>
      <c r="I51" s="369" t="n"/>
      <c r="J51" s="369" t="n"/>
      <c r="K51" s="369" t="n"/>
      <c r="L51" s="369" t="n"/>
      <c r="M51" s="369" t="n"/>
      <c r="N51" s="369" t="n"/>
      <c r="O51" s="369" t="n"/>
      <c r="P51" s="369" t="n"/>
      <c r="Q51" s="369" t="n"/>
    </row>
    <row r="52" ht="14.25" customHeight="1" s="643">
      <c r="A52" s="384" t="n"/>
      <c r="B52" s="446" t="n"/>
      <c r="C52" s="728" t="n"/>
      <c r="D52" s="338" t="n"/>
      <c r="E52" s="369" t="n"/>
      <c r="F52" s="369" t="n"/>
      <c r="G52" s="369" t="n"/>
      <c r="H52" s="438" t="n"/>
      <c r="I52" s="369" t="n"/>
      <c r="J52" s="369" t="n"/>
      <c r="K52" s="369" t="n"/>
      <c r="L52" s="369" t="n"/>
      <c r="M52" s="369" t="n"/>
      <c r="N52" s="369" t="n"/>
      <c r="O52" s="369" t="n"/>
      <c r="P52" s="369" t="n"/>
      <c r="Q52" s="369" t="n"/>
    </row>
    <row r="53" ht="14.25" customHeight="1" s="643">
      <c r="A53" s="384" t="n"/>
      <c r="B53" s="446" t="n"/>
      <c r="C53" s="728" t="n"/>
      <c r="D53" s="338" t="n"/>
      <c r="E53" s="369" t="n"/>
      <c r="F53" s="369" t="n"/>
      <c r="G53" s="369" t="n"/>
      <c r="H53" s="438" t="n"/>
      <c r="I53" s="369" t="n"/>
      <c r="J53" s="369" t="n"/>
      <c r="K53" s="369" t="n"/>
      <c r="L53" s="369" t="n"/>
      <c r="M53" s="369" t="n"/>
      <c r="N53" s="369" t="n"/>
      <c r="O53" s="369" t="n"/>
      <c r="P53" s="369" t="n"/>
      <c r="Q53" s="369" t="n"/>
    </row>
    <row r="54" ht="14.25" customHeight="1" s="643">
      <c r="A54" s="384" t="n"/>
      <c r="B54" s="446" t="n"/>
      <c r="C54" s="728" t="n"/>
      <c r="D54" s="338" t="n"/>
      <c r="E54" s="369" t="n"/>
      <c r="F54" s="369" t="n"/>
      <c r="G54" s="369" t="n"/>
      <c r="H54" s="438" t="n"/>
      <c r="I54" s="369" t="n"/>
      <c r="J54" s="369" t="n"/>
      <c r="K54" s="369" t="n"/>
      <c r="L54" s="369" t="n"/>
      <c r="M54" s="369" t="n"/>
      <c r="N54" s="369" t="n"/>
      <c r="O54" s="369" t="n"/>
      <c r="P54" s="369" t="n"/>
      <c r="Q54" s="369" t="n"/>
    </row>
    <row r="55" ht="14.25" customHeight="1" s="643">
      <c r="A55" s="384" t="n"/>
      <c r="B55" s="446" t="n"/>
      <c r="C55" s="728" t="n"/>
      <c r="D55" s="338" t="n"/>
      <c r="E55" s="369" t="n"/>
      <c r="F55" s="369" t="n"/>
      <c r="G55" s="369" t="n"/>
      <c r="H55" s="438" t="n"/>
      <c r="I55" s="369" t="n"/>
      <c r="J55" s="369" t="n"/>
      <c r="K55" s="369" t="n"/>
      <c r="L55" s="369" t="n"/>
      <c r="M55" s="369" t="n"/>
      <c r="N55" s="369" t="n"/>
      <c r="O55" s="369" t="n"/>
      <c r="P55" s="369" t="n"/>
      <c r="Q55" s="369" t="n"/>
    </row>
    <row r="56" ht="14.25" customHeight="1" s="643">
      <c r="B56" s="447" t="n"/>
      <c r="C56" s="728" t="n"/>
      <c r="D56" s="421" t="n"/>
      <c r="E56" s="242" t="n"/>
      <c r="F56" s="242" t="n"/>
      <c r="G56" s="242" t="n"/>
      <c r="H56" s="439" t="n"/>
      <c r="I56" s="242" t="n"/>
      <c r="J56" s="242" t="n"/>
      <c r="K56" s="242" t="n"/>
      <c r="L56" s="242" t="n"/>
      <c r="M56" s="242" t="n"/>
      <c r="N56" s="242" t="n"/>
      <c r="O56" s="242" t="n"/>
      <c r="P56" s="242" t="n"/>
      <c r="Q56" s="242" t="n"/>
    </row>
    <row r="57" ht="14.25" customHeight="1" s="643">
      <c r="B57" s="447" t="n"/>
      <c r="C57" s="728" t="n"/>
      <c r="D57" s="421" t="n"/>
      <c r="E57" s="242" t="n"/>
      <c r="F57" s="242" t="n"/>
      <c r="G57" s="242" t="n"/>
      <c r="H57" s="439" t="n"/>
      <c r="I57" s="242" t="n"/>
      <c r="J57" s="242" t="n"/>
      <c r="K57" s="242" t="n"/>
      <c r="L57" s="242" t="n"/>
      <c r="M57" s="242" t="n"/>
      <c r="N57" s="242" t="n"/>
      <c r="O57" s="242" t="n"/>
      <c r="P57" s="242" t="n"/>
      <c r="Q57" s="242" t="n"/>
    </row>
    <row r="58" ht="14.25" customHeight="1" s="643">
      <c r="B58" s="447" t="n"/>
      <c r="C58" s="728" t="n"/>
      <c r="D58" s="421" t="n"/>
      <c r="E58" s="242" t="n"/>
      <c r="F58" s="242" t="n"/>
      <c r="G58" s="242" t="n"/>
      <c r="H58" s="439" t="n"/>
      <c r="I58" s="242" t="n"/>
      <c r="J58" s="242" t="n"/>
      <c r="K58" s="242" t="n"/>
      <c r="L58" s="242" t="n"/>
      <c r="M58" s="242" t="n"/>
      <c r="N58" s="242" t="n"/>
      <c r="O58" s="242" t="n"/>
      <c r="P58" s="242" t="n"/>
      <c r="Q58" s="242" t="n"/>
    </row>
    <row r="59" ht="14.25" customHeight="1" s="643">
      <c r="B59" s="447" t="n"/>
      <c r="C59" s="728" t="n"/>
      <c r="D59" s="421" t="n"/>
      <c r="E59" s="242" t="n"/>
      <c r="F59" s="242" t="n"/>
      <c r="G59" s="242" t="n"/>
      <c r="H59" s="439" t="n"/>
      <c r="I59" s="242" t="n"/>
      <c r="J59" s="242" t="n"/>
      <c r="K59" s="242" t="n"/>
      <c r="L59" s="242" t="n"/>
      <c r="M59" s="242" t="n"/>
      <c r="N59" s="242" t="n"/>
      <c r="O59" s="242" t="n"/>
      <c r="P59" s="242" t="n"/>
      <c r="Q59" s="242" t="n"/>
    </row>
    <row r="60" ht="14.25" customHeight="1" s="643">
      <c r="B60" s="447" t="n"/>
      <c r="C60" s="728" t="n"/>
      <c r="D60" s="421" t="n"/>
      <c r="E60" s="242" t="n"/>
      <c r="F60" s="242" t="n"/>
      <c r="G60" s="242" t="n"/>
      <c r="H60" s="439" t="n"/>
      <c r="I60" s="242" t="n"/>
      <c r="J60" s="242" t="n"/>
      <c r="K60" s="242" t="n"/>
      <c r="L60" s="242" t="n"/>
      <c r="M60" s="242" t="n"/>
      <c r="N60" s="242" t="n"/>
      <c r="O60" s="242" t="n"/>
      <c r="P60" s="242" t="n"/>
      <c r="Q60" s="242" t="n"/>
    </row>
    <row r="61" ht="14.25" customHeight="1" s="643">
      <c r="B61" s="447" t="n"/>
      <c r="C61" s="728" t="n"/>
      <c r="D61" s="421" t="n"/>
      <c r="E61" s="242" t="n"/>
      <c r="F61" s="242" t="n"/>
      <c r="G61" s="242" t="n"/>
      <c r="H61" s="439" t="n"/>
      <c r="I61" s="242" t="n"/>
      <c r="J61" s="242" t="n"/>
      <c r="K61" s="242" t="n"/>
      <c r="L61" s="242" t="n"/>
      <c r="M61" s="242" t="n"/>
      <c r="N61" s="242" t="n"/>
      <c r="O61" s="242" t="n"/>
      <c r="P61" s="242" t="n"/>
      <c r="Q61" s="242" t="n"/>
    </row>
    <row r="62" ht="14.25" customHeight="1" s="643">
      <c r="B62" s="447" t="n"/>
      <c r="C62" s="728" t="n"/>
      <c r="D62" s="421" t="n"/>
      <c r="E62" s="242" t="n"/>
      <c r="F62" s="242" t="n"/>
      <c r="G62" s="242" t="n"/>
      <c r="H62" s="439" t="n"/>
      <c r="I62" s="242" t="n"/>
      <c r="J62" s="242" t="n"/>
      <c r="K62" s="242" t="n"/>
      <c r="L62" s="242" t="n"/>
      <c r="M62" s="242" t="n"/>
      <c r="N62" s="242" t="n"/>
      <c r="O62" s="242" t="n"/>
      <c r="P62" s="242" t="n"/>
      <c r="Q62" s="242" t="n"/>
    </row>
    <row r="63" ht="14.25" customHeight="1" s="643">
      <c r="B63" s="447" t="n"/>
      <c r="C63" s="728" t="n"/>
      <c r="D63" s="421" t="n"/>
      <c r="E63" s="242" t="n"/>
      <c r="F63" s="242" t="n"/>
      <c r="G63" s="242" t="n"/>
      <c r="H63" s="439" t="n"/>
      <c r="I63" s="242" t="n"/>
      <c r="J63" s="242" t="n"/>
      <c r="K63" s="242" t="n"/>
      <c r="L63" s="242" t="n"/>
      <c r="M63" s="242" t="n"/>
      <c r="N63" s="242" t="n"/>
      <c r="O63" s="242" t="n"/>
      <c r="P63" s="242" t="n"/>
      <c r="Q63" s="242" t="n"/>
    </row>
    <row r="64" ht="14.25" customHeight="1" s="643">
      <c r="B64" s="447" t="n"/>
      <c r="C64" s="742" t="n"/>
      <c r="D64" s="422" t="n"/>
      <c r="E64" s="242" t="n"/>
      <c r="F64" s="242" t="n"/>
      <c r="G64" s="242" t="n"/>
      <c r="H64" s="439" t="n"/>
      <c r="I64" s="242" t="n"/>
      <c r="J64" s="242" t="n"/>
      <c r="K64" s="242" t="n"/>
      <c r="L64" s="242" t="n"/>
      <c r="M64" s="242" t="n"/>
      <c r="N64" s="242" t="n"/>
      <c r="O64" s="242" t="n"/>
      <c r="P64" s="242" t="n"/>
      <c r="Q64" s="242" t="n"/>
    </row>
    <row r="65" ht="14.25" customHeight="1" s="643">
      <c r="B65" s="447" t="n"/>
      <c r="C65" s="742" t="n"/>
      <c r="D65" s="422" t="n"/>
      <c r="E65" s="242" t="n"/>
      <c r="F65" s="242" t="n"/>
      <c r="G65" s="242" t="n"/>
      <c r="H65" s="439" t="n"/>
      <c r="I65" s="242" t="n"/>
      <c r="J65" s="242" t="n"/>
      <c r="K65" s="242" t="n"/>
      <c r="L65" s="242" t="n"/>
      <c r="M65" s="242" t="n"/>
      <c r="N65" s="242" t="n"/>
      <c r="O65" s="242" t="n"/>
      <c r="P65" s="242" t="n"/>
      <c r="Q65" s="242" t="n"/>
    </row>
    <row r="66" ht="14.25" customHeight="1" s="643">
      <c r="B66" s="447" t="n"/>
      <c r="C66" s="742" t="n"/>
      <c r="D66" s="422" t="n"/>
      <c r="E66" s="242" t="n"/>
      <c r="F66" s="242" t="n"/>
      <c r="G66" s="242" t="n"/>
      <c r="H66" s="439" t="n"/>
      <c r="I66" s="242" t="n"/>
      <c r="J66" s="242" t="n"/>
      <c r="K66" s="242" t="n"/>
      <c r="L66" s="242" t="n"/>
      <c r="M66" s="242" t="n"/>
      <c r="N66" s="242" t="n"/>
      <c r="O66" s="242" t="n"/>
      <c r="P66" s="242" t="n"/>
      <c r="Q66" s="242" t="n"/>
    </row>
    <row r="67" ht="14.25" customHeight="1" s="643">
      <c r="B67" s="447" t="n"/>
      <c r="C67" s="742" t="n"/>
      <c r="D67" s="422" t="n"/>
      <c r="E67" s="242" t="n"/>
      <c r="F67" s="242" t="n"/>
      <c r="G67" s="242" t="n"/>
      <c r="H67" s="439" t="n"/>
      <c r="I67" s="242" t="n"/>
      <c r="J67" s="242" t="n"/>
      <c r="K67" s="242" t="n"/>
      <c r="L67" s="242" t="n"/>
      <c r="M67" s="242" t="n"/>
      <c r="N67" s="242" t="n"/>
      <c r="O67" s="242" t="n"/>
      <c r="P67" s="242" t="n"/>
      <c r="Q67" s="242" t="n"/>
    </row>
    <row r="68" ht="14.25" customHeight="1" s="643">
      <c r="B68" s="447" t="n"/>
      <c r="C68" s="742" t="n"/>
      <c r="D68" s="422" t="n"/>
      <c r="E68" s="242" t="n"/>
      <c r="F68" s="242" t="n"/>
      <c r="G68" s="242" t="n"/>
      <c r="H68" s="439" t="n"/>
      <c r="I68" s="242" t="n"/>
      <c r="J68" s="242" t="n"/>
      <c r="K68" s="242" t="n"/>
      <c r="L68" s="242" t="n"/>
      <c r="M68" s="242" t="n"/>
      <c r="N68" s="242" t="n"/>
      <c r="O68" s="242" t="n"/>
      <c r="P68" s="242" t="n"/>
      <c r="Q68" s="242" t="n"/>
    </row>
    <row r="69" ht="14.25" customHeight="1" s="643">
      <c r="B69" s="447" t="n"/>
      <c r="C69" s="742" t="n"/>
      <c r="D69" s="422" t="n"/>
      <c r="E69" s="242" t="n"/>
      <c r="F69" s="242" t="n"/>
      <c r="G69" s="242" t="n"/>
      <c r="H69" s="439" t="n"/>
      <c r="I69" s="242" t="n"/>
      <c r="J69" s="242" t="n"/>
      <c r="K69" s="242" t="n"/>
      <c r="L69" s="242" t="n"/>
      <c r="M69" s="242" t="n"/>
      <c r="N69" s="242" t="n"/>
      <c r="O69" s="242" t="n"/>
      <c r="P69" s="242" t="n"/>
      <c r="Q69" s="242" t="n"/>
    </row>
    <row r="70" ht="14.25" customHeight="1" s="643">
      <c r="B70" s="447" t="n"/>
      <c r="C70" s="742" t="n"/>
      <c r="D70" s="422" t="n"/>
      <c r="E70" s="242" t="n"/>
      <c r="F70" s="242" t="n"/>
      <c r="G70" s="242" t="n"/>
      <c r="H70" s="439" t="n"/>
      <c r="I70" s="242" t="n"/>
      <c r="J70" s="242" t="n"/>
      <c r="K70" s="242" t="n"/>
      <c r="L70" s="242" t="n"/>
      <c r="M70" s="242" t="n"/>
      <c r="N70" s="242" t="n"/>
      <c r="O70" s="242" t="n"/>
      <c r="P70" s="242" t="n"/>
      <c r="Q70" s="242" t="n"/>
    </row>
    <row r="71" ht="14.25" customHeight="1" s="643">
      <c r="B71" s="447" t="n"/>
      <c r="C71" s="742" t="n"/>
      <c r="D71" s="422" t="n"/>
      <c r="E71" s="242" t="n"/>
      <c r="F71" s="242" t="n"/>
      <c r="G71" s="242" t="n"/>
      <c r="H71" s="439" t="n"/>
      <c r="I71" s="242" t="n"/>
      <c r="J71" s="242" t="n"/>
      <c r="K71" s="242" t="n"/>
      <c r="L71" s="242" t="n"/>
      <c r="M71" s="242" t="n"/>
      <c r="N71" s="242" t="n"/>
      <c r="O71" s="242" t="n"/>
      <c r="P71" s="242" t="n"/>
      <c r="Q71" s="242" t="n"/>
    </row>
    <row r="72">
      <c r="B72" s="448" t="n"/>
      <c r="C72" s="743" t="n"/>
      <c r="D72" s="422" t="n"/>
      <c r="E72" s="242" t="n"/>
      <c r="F72" s="242" t="n"/>
      <c r="G72" s="242" t="n"/>
      <c r="H72" s="439" t="n"/>
      <c r="I72" s="242" t="n"/>
      <c r="J72" s="242" t="n"/>
      <c r="K72" s="242" t="n"/>
      <c r="L72" s="242" t="n"/>
      <c r="M72" s="242" t="n"/>
      <c r="N72" s="242" t="n"/>
      <c r="O72" s="242" t="n"/>
      <c r="P72" s="242" t="n"/>
      <c r="Q72" s="242" t="n"/>
    </row>
    <row r="73">
      <c r="B73" s="448" t="n"/>
      <c r="C73" s="743" t="n"/>
      <c r="D73" s="422" t="n"/>
      <c r="E73" s="242" t="n"/>
      <c r="F73" s="242" t="n"/>
      <c r="G73" s="242" t="n"/>
      <c r="H73" s="439" t="n"/>
      <c r="I73" s="242" t="n"/>
      <c r="J73" s="242" t="n"/>
      <c r="K73" s="242" t="n"/>
      <c r="L73" s="242" t="n"/>
      <c r="M73" s="242" t="n"/>
      <c r="N73" s="242" t="n"/>
      <c r="O73" s="242" t="n"/>
      <c r="P73" s="242" t="n"/>
      <c r="Q73" s="242" t="n"/>
    </row>
    <row r="74">
      <c r="B74" s="448" t="n"/>
      <c r="C74" s="743" t="n"/>
      <c r="D74" s="422" t="n"/>
      <c r="E74" s="242" t="n"/>
      <c r="F74" s="242" t="n"/>
      <c r="G74" s="242" t="n"/>
      <c r="H74" s="439" t="n"/>
      <c r="I74" s="242" t="n"/>
      <c r="J74" s="242" t="n"/>
      <c r="K74" s="242" t="n"/>
      <c r="L74" s="242" t="n"/>
      <c r="M74" s="242" t="n"/>
      <c r="N74" s="242" t="n"/>
      <c r="O74" s="242" t="n"/>
      <c r="P74" s="242" t="n"/>
      <c r="Q74" s="242" t="n"/>
    </row>
    <row r="75">
      <c r="B75" s="448" t="n"/>
      <c r="C75" s="242" t="n"/>
      <c r="D75" s="422" t="n"/>
      <c r="E75" s="242" t="n"/>
      <c r="F75" s="242" t="n"/>
      <c r="G75" s="242" t="n"/>
      <c r="H75" s="439" t="n"/>
      <c r="I75" s="242" t="n"/>
      <c r="J75" s="242" t="n"/>
      <c r="K75" s="242" t="n"/>
      <c r="L75" s="242" t="n"/>
      <c r="M75" s="242" t="n"/>
      <c r="N75" s="242" t="n"/>
      <c r="O75" s="242" t="n"/>
      <c r="P75" s="242" t="n"/>
      <c r="Q75" s="242" t="n"/>
    </row>
    <row r="76">
      <c r="B76" s="448" t="n"/>
      <c r="C76" s="242" t="n"/>
      <c r="D76" s="422" t="n"/>
      <c r="E76" s="242" t="n"/>
      <c r="F76" s="242" t="n"/>
      <c r="G76" s="242" t="n"/>
      <c r="H76" s="439" t="n"/>
      <c r="I76" s="242" t="n"/>
      <c r="J76" s="242" t="n"/>
      <c r="K76" s="242" t="n"/>
      <c r="L76" s="242" t="n"/>
      <c r="M76" s="242" t="n"/>
      <c r="N76" s="242" t="n"/>
      <c r="O76" s="242" t="n"/>
      <c r="P76" s="242" t="n"/>
      <c r="Q76" s="242" t="n"/>
    </row>
    <row r="77">
      <c r="B77" s="448" t="n"/>
      <c r="C77" s="242" t="n"/>
      <c r="D77" s="422" t="n"/>
      <c r="E77" s="242" t="n"/>
      <c r="F77" s="242" t="n"/>
      <c r="G77" s="242" t="n"/>
      <c r="H77" s="439" t="n"/>
      <c r="I77" s="242" t="n"/>
      <c r="J77" s="242" t="n"/>
      <c r="K77" s="242" t="n"/>
      <c r="L77" s="242" t="n"/>
      <c r="M77" s="242" t="n"/>
      <c r="N77" s="242" t="n"/>
      <c r="O77" s="242" t="n"/>
      <c r="P77" s="242" t="n"/>
      <c r="Q77" s="242" t="n"/>
    </row>
    <row r="78">
      <c r="B78" s="448" t="n"/>
      <c r="C78" s="242" t="n"/>
      <c r="D78" s="422" t="n"/>
      <c r="E78" s="242" t="n"/>
      <c r="F78" s="242" t="n"/>
      <c r="G78" s="242" t="n"/>
      <c r="H78" s="439" t="n"/>
      <c r="I78" s="242" t="n"/>
      <c r="J78" s="242" t="n"/>
      <c r="K78" s="242" t="n"/>
      <c r="L78" s="242" t="n"/>
      <c r="M78" s="242" t="n"/>
      <c r="N78" s="242" t="n"/>
      <c r="O78" s="242" t="n"/>
      <c r="P78" s="242" t="n"/>
      <c r="Q78" s="242" t="n"/>
    </row>
    <row r="79">
      <c r="B79" s="449" t="n"/>
    </row>
    <row r="80">
      <c r="B80" s="449" t="n"/>
    </row>
    <row r="81">
      <c r="B81" s="449" t="n"/>
    </row>
    <row r="82">
      <c r="B82" s="449" t="n"/>
      <c r="S82" s="245" t="n"/>
      <c r="T82" s="245" t="n"/>
      <c r="U82" s="245" t="n"/>
      <c r="V82" s="245" t="n"/>
    </row>
    <row r="83">
      <c r="B83" s="449" t="n"/>
      <c r="S83" s="744">
        <f>IF(MIN($T$88:$T$167)=0,"",MIN($T$88:$T$167))</f>
        <v/>
      </c>
      <c r="T83" s="744">
        <f>IF(MAX($T$88:$T$167)=0,"",MAX($T$88:$T$167))</f>
        <v/>
      </c>
      <c r="U83" s="245" t="n"/>
      <c r="V83" s="245">
        <f>SUM(COUNTIF($T$88:$T$234,"&gt;0"),COUNTIF($T$88:$T$234,"B"))</f>
        <v/>
      </c>
    </row>
    <row r="84">
      <c r="B84" s="449" t="n"/>
      <c r="S84" s="744">
        <f>TEXT(S83,"yyyy年 mm月  dd日  aaa曜日")</f>
        <v/>
      </c>
      <c r="T84" s="744">
        <f>TEXT(T83,"yyyy年 mm月  dd日  aaa曜日")</f>
        <v/>
      </c>
      <c r="U84" s="245" t="n"/>
      <c r="V84" s="245" t="n"/>
    </row>
    <row r="85">
      <c r="B85" s="449" t="n"/>
      <c r="S85" s="245" t="n"/>
      <c r="T85" s="245" t="n"/>
      <c r="U85" s="245" t="n"/>
      <c r="V85" s="245" t="n"/>
    </row>
    <row r="86">
      <c r="B86" s="449" t="n"/>
      <c r="S86" s="245" t="n"/>
      <c r="T86" s="245" t="n"/>
      <c r="U86" s="245" t="n"/>
      <c r="V86" s="245" t="n"/>
    </row>
    <row r="87">
      <c r="B87" s="449" t="n"/>
      <c r="S87" s="247" t="inlineStr">
        <is>
          <t>状態</t>
        </is>
      </c>
      <c r="T87" s="248" t="inlineStr">
        <is>
          <t>日付</t>
        </is>
      </c>
      <c r="U87" s="248" t="inlineStr">
        <is>
          <t>備考</t>
        </is>
      </c>
      <c r="V87" s="248" t="inlineStr">
        <is>
          <t>Count</t>
        </is>
      </c>
    </row>
    <row r="88">
      <c r="B88" s="449" t="n"/>
      <c r="S88" s="745" t="inlineStr">
        <is>
          <t>■有給休暇</t>
        </is>
      </c>
      <c r="T88" s="746">
        <f>IF(OR(Data!Q4=0,Data!Q4=""),"",Data!Q4)</f>
        <v/>
      </c>
      <c r="U88" s="251">
        <f>IFERROR(VLOOKUP(T88,Data!$H$4:$I$34,2,FALSE),"")</f>
        <v/>
      </c>
      <c r="V88" s="252">
        <f>IF(T88="","",1)</f>
        <v/>
      </c>
    </row>
    <row r="89">
      <c r="B89" s="449" t="n"/>
      <c r="S89" s="747" t="n"/>
      <c r="T89" s="746">
        <f>IF(OR(Data!Q5=0,Data!Q5=""),"",Data!Q5)</f>
        <v/>
      </c>
      <c r="U89" s="251">
        <f>IFERROR(VLOOKUP(T89,Data!$H$4:$I$34,2,FALSE),"")</f>
        <v/>
      </c>
      <c r="V89" s="252">
        <f>IF(T89="","",1)</f>
        <v/>
      </c>
    </row>
    <row r="90">
      <c r="B90" s="449" t="n"/>
      <c r="S90" s="254" t="n"/>
      <c r="T90" s="746">
        <f>IF(OR(Data!Q6=0,Data!Q6=""),"",Data!Q6)</f>
        <v/>
      </c>
      <c r="U90" s="251">
        <f>IFERROR(VLOOKUP(T90,Data!$H$4:$I$34,2,FALSE),"")</f>
        <v/>
      </c>
      <c r="V90" s="252">
        <f>IF(T90="","",1)</f>
        <v/>
      </c>
    </row>
    <row r="91">
      <c r="B91" s="449" t="n"/>
      <c r="S91" s="254" t="n"/>
      <c r="T91" s="746">
        <f>IF(OR(Data!Q7=0,Data!Q7=""),"",Data!Q7)</f>
        <v/>
      </c>
      <c r="U91" s="251">
        <f>IFERROR(VLOOKUP(T91,Data!$H$4:$I$34,2,FALSE),"")</f>
        <v/>
      </c>
      <c r="V91" s="252">
        <f>IF(T91="","",1)</f>
        <v/>
      </c>
    </row>
    <row r="92">
      <c r="B92" s="449" t="n"/>
      <c r="S92" s="254" t="n"/>
      <c r="T92" s="746">
        <f>IF(OR(Data!Q8=0,Data!Q8=""),"",Data!Q8)</f>
        <v/>
      </c>
      <c r="U92" s="251">
        <f>IFERROR(VLOOKUP(T92,Data!$H$4:$I$34,2,FALSE),"")</f>
        <v/>
      </c>
      <c r="V92" s="252">
        <f>IF(T92="","",1)</f>
        <v/>
      </c>
    </row>
    <row r="93">
      <c r="B93" s="449" t="n"/>
      <c r="S93" s="255" t="n"/>
      <c r="T93" s="746">
        <f>IF(OR(Data!Q9=0,Data!Q9=""),"",Data!Q9)</f>
        <v/>
      </c>
      <c r="U93" s="251">
        <f>IFERROR(VLOOKUP(T93,Data!$H$4:$I$34,2,FALSE),"")</f>
        <v/>
      </c>
      <c r="V93" s="252">
        <f>IF(T93="","",1)</f>
        <v/>
      </c>
    </row>
    <row r="94">
      <c r="B94" s="449" t="n"/>
      <c r="S94" s="254" t="n"/>
      <c r="T94" s="746">
        <f>IF(OR(Data!Q10=0,Data!Q10=""),"",Data!Q10)</f>
        <v/>
      </c>
      <c r="U94" s="251">
        <f>IFERROR(VLOOKUP(T94,Data!$H$4:$I$34,2,FALSE),"")</f>
        <v/>
      </c>
      <c r="V94" s="252">
        <f>IF(T94="","",1)</f>
        <v/>
      </c>
    </row>
    <row r="95">
      <c r="B95" s="449" t="n"/>
      <c r="S95" s="254" t="n"/>
      <c r="T95" s="746">
        <f>IF(OR(Data!Q11=0,Data!Q11=""),"",Data!Q11)</f>
        <v/>
      </c>
      <c r="U95" s="251">
        <f>IFERROR(VLOOKUP(T95,Data!$H$4:$I$34,2,FALSE),"")</f>
        <v/>
      </c>
      <c r="V95" s="252">
        <f>IF(T95="","",1)</f>
        <v/>
      </c>
    </row>
    <row r="96">
      <c r="B96" s="449" t="n"/>
      <c r="S96" s="255" t="n"/>
      <c r="T96" s="746">
        <f>IF(OR(Data!Q12=0,Data!Q12=""),"",Data!Q12)</f>
        <v/>
      </c>
      <c r="U96" s="251">
        <f>IFERROR(VLOOKUP(T96,Data!$H$4:$I$34,2,FALSE),"")</f>
        <v/>
      </c>
      <c r="V96" s="252">
        <f>IF(T96="","",1)</f>
        <v/>
      </c>
    </row>
    <row r="97">
      <c r="B97" s="449" t="n"/>
      <c r="S97" s="254" t="n"/>
      <c r="T97" s="746">
        <f>IF(OR(Data!Q13=0,Data!Q13=""),"",Data!Q13)</f>
        <v/>
      </c>
      <c r="U97" s="251">
        <f>IFERROR(VLOOKUP(T97,Data!$H$4:$I$34,2,FALSE),"")</f>
        <v/>
      </c>
      <c r="V97" s="252">
        <f>IF(T97="","",1)</f>
        <v/>
      </c>
    </row>
    <row r="98">
      <c r="B98" s="449" t="n"/>
      <c r="S98" s="254" t="n"/>
      <c r="T98" s="746">
        <f>IF(OR(Data!Q14=0,Data!Q14=""),"",Data!Q14)</f>
        <v/>
      </c>
      <c r="U98" s="251">
        <f>IFERROR(VLOOKUP(T98,Data!$H$4:$I$34,2,FALSE),"")</f>
        <v/>
      </c>
      <c r="V98" s="252">
        <f>IF(T98="","",1)</f>
        <v/>
      </c>
    </row>
    <row r="99">
      <c r="B99" s="449" t="n"/>
      <c r="S99" s="255" t="n"/>
      <c r="T99" s="746">
        <f>IF(OR(Data!Q15=0,Data!Q15=""),"",Data!Q15)</f>
        <v/>
      </c>
      <c r="U99" s="251">
        <f>IFERROR(VLOOKUP(T99,Data!$H$4:$I$34,2,FALSE),"")</f>
        <v/>
      </c>
      <c r="V99" s="252">
        <f>IF(T99="","",1)</f>
        <v/>
      </c>
    </row>
    <row r="100">
      <c r="B100" s="450" t="n"/>
      <c r="S100" s="254" t="n"/>
      <c r="T100" s="746">
        <f>IF(OR(Data!Q16=0,Data!Q16=""),"",Data!Q16)</f>
        <v/>
      </c>
      <c r="U100" s="251">
        <f>IFERROR(VLOOKUP(T100,Data!$H$4:$I$34,2,FALSE),"")</f>
        <v/>
      </c>
      <c r="V100" s="252">
        <f>IF(T100="","",1)</f>
        <v/>
      </c>
    </row>
    <row r="101">
      <c r="B101" s="450" t="n"/>
      <c r="S101" s="254" t="n"/>
      <c r="T101" s="746">
        <f>IF(OR(Data!Q17=0,Data!Q17=""),"",Data!Q17)</f>
        <v/>
      </c>
      <c r="U101" s="251">
        <f>IFERROR(VLOOKUP(T101,Data!$H$4:$I$34,2,FALSE),"")</f>
        <v/>
      </c>
      <c r="V101" s="252">
        <f>IF(T101="","",1)</f>
        <v/>
      </c>
    </row>
    <row r="102">
      <c r="B102" s="450" t="n"/>
      <c r="S102" s="254" t="n"/>
      <c r="T102" s="746">
        <f>IF(OR(Data!Q18=0,Data!Q18=""),"",Data!Q18)</f>
        <v/>
      </c>
      <c r="U102" s="251">
        <f>IFERROR(VLOOKUP(T102,Data!$H$4:$I$34,2,FALSE),"")</f>
        <v/>
      </c>
      <c r="V102" s="252">
        <f>IF(T102="","",1)</f>
        <v/>
      </c>
    </row>
    <row r="103">
      <c r="B103" s="450" t="n"/>
      <c r="S103" s="254" t="n"/>
      <c r="T103" s="746">
        <f>IF(OR(Data!Q19=0,Data!Q19=""),"",Data!Q19)</f>
        <v/>
      </c>
      <c r="U103" s="251">
        <f>IFERROR(VLOOKUP(T103,Data!$H$4:$I$34,2,FALSE),"")</f>
        <v/>
      </c>
      <c r="V103" s="252">
        <f>IF(T103="","",1)</f>
        <v/>
      </c>
    </row>
    <row r="104">
      <c r="B104" s="450" t="n"/>
      <c r="S104" s="254" t="n"/>
      <c r="T104" s="746">
        <f>IF(OR(Data!Q20=0,Data!Q20=""),"",Data!Q20)</f>
        <v/>
      </c>
      <c r="U104" s="251">
        <f>IFERROR(VLOOKUP(T104,Data!$H$4:$I$34,2,FALSE),"")</f>
        <v/>
      </c>
      <c r="V104" s="252">
        <f>IF(T104="","",1)</f>
        <v/>
      </c>
    </row>
    <row r="105">
      <c r="B105" s="450" t="n"/>
      <c r="S105" s="254" t="n"/>
      <c r="T105" s="746">
        <f>IF(OR(Data!Q21=0,Data!Q21=""),"",Data!Q21)</f>
        <v/>
      </c>
      <c r="U105" s="251">
        <f>IFERROR(VLOOKUP(T105,Data!$H$4:$I$34,2,FALSE),"")</f>
        <v/>
      </c>
      <c r="V105" s="252">
        <f>IF(T105="","",1)</f>
        <v/>
      </c>
    </row>
    <row r="106">
      <c r="B106" s="450" t="n"/>
      <c r="S106" s="254" t="n"/>
      <c r="T106" s="746">
        <f>IF(OR(Data!Q22=0,Data!Q22=""),"",Data!Q22)</f>
        <v/>
      </c>
      <c r="U106" s="251">
        <f>IFERROR(VLOOKUP(T106,Data!$H$4:$I$34,2,FALSE),"")</f>
        <v/>
      </c>
      <c r="V106" s="252">
        <f>IF(T106="","",1)</f>
        <v/>
      </c>
    </row>
    <row r="107">
      <c r="B107" s="450" t="n"/>
      <c r="S107" s="254" t="n"/>
      <c r="T107" s="746">
        <f>IF(OR(Data!Q23=0,Data!Q23=""),"",Data!Q23)</f>
        <v/>
      </c>
      <c r="U107" s="251">
        <f>IFERROR(VLOOKUP(T107,Data!$H$4:$I$34,2,FALSE),"")</f>
        <v/>
      </c>
      <c r="V107" s="252">
        <f>IF(T107="","",1)</f>
        <v/>
      </c>
    </row>
    <row r="108">
      <c r="B108" s="450" t="n"/>
      <c r="S108" s="254" t="n"/>
      <c r="T108" s="746">
        <f>IF(OR(Data!Q24=0,Data!Q24=""),"",Data!Q24)</f>
        <v/>
      </c>
      <c r="U108" s="251">
        <f>IFERROR(VLOOKUP(T108,Data!$H$4:$I$34,2,FALSE),"")</f>
        <v/>
      </c>
      <c r="V108" s="252">
        <f>IF(T108="","",1)</f>
        <v/>
      </c>
    </row>
    <row r="109">
      <c r="B109" s="450" t="n"/>
      <c r="S109" s="254" t="n"/>
      <c r="T109" s="746">
        <f>IF(OR(Data!Q25=0,Data!Q25=""),"",Data!Q25)</f>
        <v/>
      </c>
      <c r="U109" s="251">
        <f>IFERROR(VLOOKUP(T109,Data!$H$4:$I$34,2,FALSE),"")</f>
        <v/>
      </c>
      <c r="V109" s="252">
        <f>IF(T109="","",1)</f>
        <v/>
      </c>
    </row>
    <row r="110">
      <c r="B110" s="450" t="n"/>
      <c r="S110" s="254" t="n"/>
      <c r="T110" s="746">
        <f>IF(OR(Data!Q26=0,Data!Q26=""),"",Data!Q26)</f>
        <v/>
      </c>
      <c r="U110" s="251">
        <f>IFERROR(VLOOKUP(T110,Data!$H$4:$I$34,2,FALSE),"")</f>
        <v/>
      </c>
      <c r="V110" s="252">
        <f>IF(T110="","",1)</f>
        <v/>
      </c>
    </row>
    <row r="111">
      <c r="B111" s="450" t="n"/>
      <c r="S111" s="254" t="n"/>
      <c r="T111" s="746">
        <f>IF(OR(Data!Q27=0,Data!Q27=""),"",Data!Q27)</f>
        <v/>
      </c>
      <c r="U111" s="251">
        <f>IFERROR(VLOOKUP(T111,Data!$H$4:$I$34,2,FALSE),"")</f>
        <v/>
      </c>
      <c r="V111" s="252">
        <f>IF(T111="","",1)</f>
        <v/>
      </c>
    </row>
    <row r="112">
      <c r="B112" s="450" t="n"/>
      <c r="S112" s="254" t="n"/>
      <c r="T112" s="746">
        <f>IF(OR(Data!Q28=0,Data!Q28=""),"",Data!Q28)</f>
        <v/>
      </c>
      <c r="U112" s="251">
        <f>IFERROR(VLOOKUP(T112,Data!$H$4:$I$34,2,FALSE),"")</f>
        <v/>
      </c>
      <c r="V112" s="252">
        <f>IF(T112="","",1)</f>
        <v/>
      </c>
    </row>
    <row r="113">
      <c r="B113" s="450" t="n"/>
      <c r="S113" s="254" t="n"/>
      <c r="T113" s="746">
        <f>IF(OR(Data!Q29=0,Data!Q29=""),"",Data!Q29)</f>
        <v/>
      </c>
      <c r="U113" s="251">
        <f>IFERROR(VLOOKUP(T113,Data!$H$4:$I$34,2,FALSE),"")</f>
        <v/>
      </c>
      <c r="V113" s="252">
        <f>IF(T113="","",1)</f>
        <v/>
      </c>
    </row>
    <row r="114">
      <c r="B114" s="450" t="n"/>
      <c r="S114" s="254" t="n"/>
      <c r="T114" s="746">
        <f>IF(OR(Data!Q30=0,Data!Q30=""),"",Data!Q30)</f>
        <v/>
      </c>
      <c r="U114" s="251">
        <f>IFERROR(VLOOKUP(T114,Data!$H$4:$I$34,2,FALSE),"")</f>
        <v/>
      </c>
      <c r="V114" s="252">
        <f>IF(T114="","",1)</f>
        <v/>
      </c>
    </row>
    <row r="115">
      <c r="B115" s="450" t="n"/>
      <c r="S115" s="254" t="n"/>
      <c r="T115" s="746">
        <f>IF(OR(Data!Q31=0,Data!Q31=""),"",Data!Q31)</f>
        <v/>
      </c>
      <c r="U115" s="251">
        <f>IFERROR(VLOOKUP(T115,Data!$H$4:$I$34,2,FALSE),"")</f>
        <v/>
      </c>
      <c r="V115" s="252">
        <f>IF(T115="","",1)</f>
        <v/>
      </c>
    </row>
    <row r="116">
      <c r="B116" s="450" t="n"/>
      <c r="S116" s="254" t="n"/>
      <c r="T116" s="746">
        <f>IF(OR(Data!Q32=0,Data!Q32=""),"",Data!Q32)</f>
        <v/>
      </c>
      <c r="U116" s="251">
        <f>IFERROR(VLOOKUP(T116,Data!$H$4:$I$34,2,FALSE),"")</f>
        <v/>
      </c>
      <c r="V116" s="252">
        <f>IF(T116="","",1)</f>
        <v/>
      </c>
    </row>
    <row r="117">
      <c r="B117" s="450" t="n"/>
      <c r="S117" s="254" t="n"/>
      <c r="T117" s="746">
        <f>IF(OR(Data!Q33=0,Data!Q33=""),"",Data!Q33)</f>
        <v/>
      </c>
      <c r="U117" s="251">
        <f>IFERROR(VLOOKUP(T117,Data!$H$4:$I$34,2,FALSE),"")</f>
        <v/>
      </c>
      <c r="V117" s="252">
        <f>IF(T117="","",1)</f>
        <v/>
      </c>
    </row>
    <row r="118">
      <c r="B118" s="450" t="n"/>
      <c r="S118" s="254" t="n"/>
      <c r="T118" s="746">
        <f>IF(OR(Data!Q34=0,Data!Q34=""),"",Data!Q34)</f>
        <v/>
      </c>
      <c r="U118" s="251">
        <f>IFERROR(VLOOKUP(T118,Data!$H$4:$I$34,2,FALSE),"")</f>
        <v/>
      </c>
      <c r="V118" s="252">
        <f>IF(T118="","",1)</f>
        <v/>
      </c>
    </row>
    <row r="119">
      <c r="B119" s="450" t="n"/>
      <c r="S119" s="254" t="n"/>
      <c r="T119" s="746">
        <f>IF(OR(Data!Q35=0,Data!Q35=""),"",Data!Q35)</f>
        <v/>
      </c>
      <c r="U119" s="251">
        <f>IFERROR(VLOOKUP(T119,Data!$H$4:$I$34,2,FALSE),"")</f>
        <v/>
      </c>
      <c r="V119" s="252">
        <f>IF(T119="","",1)</f>
        <v/>
      </c>
    </row>
    <row r="120">
      <c r="B120" s="450" t="n"/>
      <c r="S120" s="254" t="n"/>
      <c r="T120" s="746">
        <f>IF(OR(Data!Q36=0,Data!Q36=""),"",Data!Q36)</f>
        <v/>
      </c>
      <c r="U120" s="251">
        <f>IFERROR(VLOOKUP(T120,Data!$H$4:$I$34,2,FALSE),"")</f>
        <v/>
      </c>
      <c r="V120" s="252">
        <f>IF(T120="","",1)</f>
        <v/>
      </c>
    </row>
    <row r="121">
      <c r="B121" s="450" t="n"/>
      <c r="S121" s="254" t="n"/>
      <c r="T121" s="746">
        <f>IF(OR(Data!Q37=0,Data!Q37=""),"",Data!Q37)</f>
        <v/>
      </c>
      <c r="U121" s="251">
        <f>IFERROR(VLOOKUP(T121,Data!$H$4:$I$34,2,FALSE),"")</f>
        <v/>
      </c>
      <c r="V121" s="252">
        <f>IF(T121="","",1)</f>
        <v/>
      </c>
    </row>
    <row r="122">
      <c r="B122" s="450" t="n"/>
      <c r="S122" s="245" t="n"/>
      <c r="T122" s="256">
        <f>IF(T123="","","B")</f>
        <v/>
      </c>
      <c r="U122" s="245" t="n"/>
      <c r="V122" s="245" t="n"/>
    </row>
    <row r="123">
      <c r="B123" s="450" t="n"/>
      <c r="S123" s="257" t="inlineStr">
        <is>
          <t>■有給休暇（半日）</t>
        </is>
      </c>
      <c r="T123" s="746">
        <f>IF(OR(Data!Q38=0,Data!Q38=""),"",Data!Q38)</f>
        <v/>
      </c>
      <c r="U123" s="251">
        <f>IFERROR(VLOOKUP(T123,Data!$H$4:$I$34,2,FALSE),"")</f>
        <v/>
      </c>
      <c r="V123" s="252">
        <f>IF(T123="","",0.5)</f>
        <v/>
      </c>
    </row>
    <row r="124">
      <c r="B124" s="450" t="n"/>
      <c r="S124" s="258" t="n"/>
      <c r="T124" s="746">
        <f>IF(OR(Data!Q39=0,Data!Q39=""),"",Data!Q39)</f>
        <v/>
      </c>
      <c r="U124" s="251">
        <f>IFERROR(VLOOKUP(T124,Data!$H$4:$I$34,2,FALSE),"")</f>
        <v/>
      </c>
      <c r="V124" s="252">
        <f>IF(T124="","",0.5)</f>
        <v/>
      </c>
    </row>
    <row r="125">
      <c r="B125" s="450" t="n"/>
      <c r="S125" s="258" t="n"/>
      <c r="T125" s="746">
        <f>IF(OR(Data!Q40=0,Data!Q40=""),"",Data!Q40)</f>
        <v/>
      </c>
      <c r="U125" s="251">
        <f>IFERROR(VLOOKUP(T125,Data!$H$4:$I$34,2,FALSE),"")</f>
        <v/>
      </c>
      <c r="V125" s="252">
        <f>IF(T125="","",0.5)</f>
        <v/>
      </c>
    </row>
    <row r="126">
      <c r="B126" s="450" t="n"/>
      <c r="S126" s="258" t="n"/>
      <c r="T126" s="746">
        <f>IF(OR(Data!Q41=0,Data!Q41=""),"",Data!Q41)</f>
        <v/>
      </c>
      <c r="U126" s="251">
        <f>IFERROR(VLOOKUP(T126,Data!$H$4:$I$34,2,FALSE),"")</f>
        <v/>
      </c>
      <c r="V126" s="252">
        <f>IF(T126="","",0.5)</f>
        <v/>
      </c>
    </row>
    <row r="127">
      <c r="B127" s="450" t="n"/>
      <c r="S127" s="748" t="n"/>
      <c r="T127" s="746">
        <f>IF(OR(Data!Q42=0,Data!Q42=""),"",Data!Q42)</f>
        <v/>
      </c>
      <c r="U127" s="251">
        <f>IFERROR(VLOOKUP(T127,Data!$H$4:$I$34,2,FALSE),"")</f>
        <v/>
      </c>
      <c r="V127" s="252">
        <f>IF(T127="","",0.5)</f>
        <v/>
      </c>
    </row>
    <row r="128">
      <c r="B128" s="450" t="n"/>
      <c r="S128" s="748" t="n"/>
      <c r="T128" s="746">
        <f>IF(OR(Data!Q43=0,Data!Q43=""),"",Data!Q43)</f>
        <v/>
      </c>
      <c r="U128" s="251">
        <f>IFERROR(VLOOKUP(T128,Data!$H$4:$I$34,2,FALSE),"")</f>
        <v/>
      </c>
      <c r="V128" s="252">
        <f>IF(T128="","",0.5)</f>
        <v/>
      </c>
    </row>
    <row r="129">
      <c r="B129" s="450" t="n"/>
      <c r="S129" s="748" t="n"/>
      <c r="T129" s="746">
        <f>IF(OR(Data!Q44=0,Data!Q44=""),"",Data!Q44)</f>
        <v/>
      </c>
      <c r="U129" s="251">
        <f>IFERROR(VLOOKUP(T129,Data!$H$4:$I$34,2,FALSE),"")</f>
        <v/>
      </c>
      <c r="V129" s="252">
        <f>IF(T129="","",0.5)</f>
        <v/>
      </c>
    </row>
    <row r="130">
      <c r="B130" s="450" t="n"/>
      <c r="S130" s="748" t="n"/>
      <c r="T130" s="746">
        <f>IF(OR(Data!Q45=0,Data!Q45=""),"",Data!Q45)</f>
        <v/>
      </c>
      <c r="U130" s="251">
        <f>IFERROR(VLOOKUP(T130,Data!$H$4:$I$34,2,FALSE),"")</f>
        <v/>
      </c>
      <c r="V130" s="252">
        <f>IF(T130="","",0.5)</f>
        <v/>
      </c>
    </row>
    <row r="131">
      <c r="B131" s="450" t="n"/>
      <c r="S131" s="748" t="n"/>
      <c r="T131" s="746">
        <f>IF(OR(Data!Q46=0,Data!Q46=""),"",Data!Q46)</f>
        <v/>
      </c>
      <c r="U131" s="251">
        <f>IFERROR(VLOOKUP(T131,Data!$H$4:$I$34,2,FALSE),"")</f>
        <v/>
      </c>
      <c r="V131" s="252">
        <f>IF(T131="","",0.5)</f>
        <v/>
      </c>
    </row>
    <row r="132">
      <c r="B132" s="450" t="n"/>
      <c r="S132" s="748" t="n"/>
      <c r="T132" s="746">
        <f>IF(OR(Data!Q47=0,Data!Q47=""),"",Data!Q47)</f>
        <v/>
      </c>
      <c r="U132" s="251">
        <f>IFERROR(VLOOKUP(T132,Data!$H$4:$I$34,2,FALSE),"")</f>
        <v/>
      </c>
      <c r="V132" s="252">
        <f>IF(T132="","",0.5)</f>
        <v/>
      </c>
    </row>
    <row r="133">
      <c r="B133" s="450" t="n"/>
      <c r="S133" s="748" t="n"/>
      <c r="T133" s="746">
        <f>IF(OR(Data!Q48=0,Data!Q48=""),"",Data!Q48)</f>
        <v/>
      </c>
      <c r="U133" s="251">
        <f>IFERROR(VLOOKUP(T133,Data!$H$4:$I$34,2,FALSE),"")</f>
        <v/>
      </c>
      <c r="V133" s="252">
        <f>IF(T133="","",0.5)</f>
        <v/>
      </c>
    </row>
    <row r="134">
      <c r="B134" s="450" t="n"/>
      <c r="S134" s="748" t="n"/>
      <c r="T134" s="746">
        <f>IF(OR(Data!Q49=0,Data!Q49=""),"",Data!Q49)</f>
        <v/>
      </c>
      <c r="U134" s="251">
        <f>IFERROR(VLOOKUP(T134,Data!$H$4:$I$34,2,FALSE),"")</f>
        <v/>
      </c>
      <c r="V134" s="252">
        <f>IF(T134="","",0.5)</f>
        <v/>
      </c>
    </row>
    <row r="135">
      <c r="B135" s="450" t="n"/>
      <c r="S135" s="748" t="n"/>
      <c r="T135" s="746">
        <f>IF(OR(Data!Q50=0,Data!Q50=""),"",Data!Q50)</f>
        <v/>
      </c>
      <c r="U135" s="251">
        <f>IFERROR(VLOOKUP(T135,Data!$H$4:$I$34,2,FALSE),"")</f>
        <v/>
      </c>
      <c r="V135" s="252">
        <f>IF(T135="","",0.5)</f>
        <v/>
      </c>
    </row>
    <row r="136">
      <c r="B136" s="450" t="n"/>
      <c r="S136" s="748" t="n"/>
      <c r="T136" s="746">
        <f>IF(OR(Data!Q51=0,Data!Q51=""),"",Data!Q51)</f>
        <v/>
      </c>
      <c r="U136" s="251">
        <f>IFERROR(VLOOKUP(T136,Data!$H$4:$I$34,2,FALSE),"")</f>
        <v/>
      </c>
      <c r="V136" s="252">
        <f>IF(T136="","",0.5)</f>
        <v/>
      </c>
    </row>
    <row r="137">
      <c r="B137" s="450" t="n"/>
      <c r="S137" s="748" t="n"/>
      <c r="T137" s="746">
        <f>IF(OR(Data!Q52=0,Data!Q52=""),"",Data!Q52)</f>
        <v/>
      </c>
      <c r="U137" s="251">
        <f>IFERROR(VLOOKUP(T137,Data!$H$4:$I$34,2,FALSE),"")</f>
        <v/>
      </c>
      <c r="V137" s="252">
        <f>IF(T137="","",0.5)</f>
        <v/>
      </c>
    </row>
    <row r="138">
      <c r="B138" s="450" t="n"/>
      <c r="S138" s="748" t="n"/>
      <c r="T138" s="746">
        <f>IF(OR(Data!Q53=0,Data!Q53=""),"",Data!Q53)</f>
        <v/>
      </c>
      <c r="U138" s="251">
        <f>IFERROR(VLOOKUP(T138,Data!$H$4:$I$34,2,FALSE),"")</f>
        <v/>
      </c>
      <c r="V138" s="252">
        <f>IF(T138="","",0.5)</f>
        <v/>
      </c>
    </row>
    <row r="139">
      <c r="B139" s="450" t="n"/>
      <c r="S139" s="748" t="n"/>
      <c r="T139" s="746">
        <f>IF(OR(Data!Q54=0,Data!Q54=""),"",Data!Q54)</f>
        <v/>
      </c>
      <c r="U139" s="251">
        <f>IFERROR(VLOOKUP(T139,Data!$H$4:$I$34,2,FALSE),"")</f>
        <v/>
      </c>
      <c r="V139" s="252">
        <f>IF(T139="","",0.5)</f>
        <v/>
      </c>
    </row>
    <row r="140">
      <c r="B140" s="450" t="n"/>
      <c r="S140" s="748" t="n"/>
      <c r="T140" s="746">
        <f>IF(OR(Data!Q55=0,Data!Q55=""),"",Data!Q55)</f>
        <v/>
      </c>
      <c r="U140" s="251">
        <f>IFERROR(VLOOKUP(T140,Data!$H$4:$I$34,2,FALSE),"")</f>
        <v/>
      </c>
      <c r="V140" s="252">
        <f>IF(T140="","",0.5)</f>
        <v/>
      </c>
    </row>
    <row r="141">
      <c r="B141" s="450" t="n"/>
      <c r="S141" s="748" t="n"/>
      <c r="T141" s="746">
        <f>IF(OR(Data!Q56=0,Data!Q56=""),"",Data!Q56)</f>
        <v/>
      </c>
      <c r="U141" s="251">
        <f>IFERROR(VLOOKUP(T141,Data!$H$4:$I$34,2,FALSE),"")</f>
        <v/>
      </c>
      <c r="V141" s="252">
        <f>IF(T141="","",0.5)</f>
        <v/>
      </c>
    </row>
    <row r="142">
      <c r="B142" s="450" t="n"/>
      <c r="S142" s="748" t="n"/>
      <c r="T142" s="746">
        <f>IF(OR(Data!Q57=0,Data!Q57=""),"",Data!Q57)</f>
        <v/>
      </c>
      <c r="U142" s="251">
        <f>IFERROR(VLOOKUP(T142,Data!$H$4:$I$34,2,FALSE),"")</f>
        <v/>
      </c>
      <c r="V142" s="252">
        <f>IF(T142="","",0.5)</f>
        <v/>
      </c>
    </row>
    <row r="143">
      <c r="B143" s="450" t="n"/>
      <c r="S143" s="748" t="n"/>
      <c r="T143" s="746">
        <f>IF(OR(Data!Q58=0,Data!Q58=""),"",Data!Q58)</f>
        <v/>
      </c>
      <c r="U143" s="251">
        <f>IFERROR(VLOOKUP(T143,Data!$H$4:$I$34,2,FALSE),"")</f>
        <v/>
      </c>
      <c r="V143" s="252">
        <f>IF(T143="","",0.5)</f>
        <v/>
      </c>
    </row>
    <row r="144">
      <c r="B144" s="450" t="n"/>
      <c r="S144" s="748" t="n"/>
      <c r="T144" s="746">
        <f>IF(OR(Data!Q59=0,Data!Q59=""),"",Data!Q59)</f>
        <v/>
      </c>
      <c r="U144" s="251">
        <f>IFERROR(VLOOKUP(T144,Data!$H$4:$I$34,2,FALSE),"")</f>
        <v/>
      </c>
      <c r="V144" s="252">
        <f>IF(T144="","",0.5)</f>
        <v/>
      </c>
    </row>
    <row r="145">
      <c r="B145" s="450" t="n"/>
      <c r="S145" s="748" t="n"/>
      <c r="T145" s="746">
        <f>IF(OR(Data!Q60=0,Data!Q60=""),"",Data!Q60)</f>
        <v/>
      </c>
      <c r="U145" s="251">
        <f>IFERROR(VLOOKUP(T145,Data!$H$4:$I$34,2,FALSE),"")</f>
        <v/>
      </c>
      <c r="V145" s="252">
        <f>IF(T145="","",0.5)</f>
        <v/>
      </c>
    </row>
    <row r="146">
      <c r="B146" s="450" t="n"/>
      <c r="S146" s="748" t="n"/>
      <c r="T146" s="746">
        <f>IF(OR(Data!Q61=0,Data!Q61=""),"",Data!Q61)</f>
        <v/>
      </c>
      <c r="U146" s="251">
        <f>IFERROR(VLOOKUP(T146,Data!$H$4:$I$34,2,FALSE),"")</f>
        <v/>
      </c>
      <c r="V146" s="252">
        <f>IF(T146="","",0.5)</f>
        <v/>
      </c>
    </row>
    <row r="147">
      <c r="B147" s="450" t="n"/>
      <c r="S147" s="748" t="n"/>
      <c r="T147" s="746">
        <f>IF(OR(Data!Q62=0,Data!Q62=""),"",Data!Q62)</f>
        <v/>
      </c>
      <c r="U147" s="251">
        <f>IFERROR(VLOOKUP(T147,Data!$H$4:$I$34,2,FALSE),"")</f>
        <v/>
      </c>
      <c r="V147" s="252">
        <f>IF(T147="","",0.5)</f>
        <v/>
      </c>
    </row>
    <row r="148">
      <c r="B148" s="450" t="n"/>
      <c r="S148" s="748" t="n"/>
      <c r="T148" s="746">
        <f>IF(OR(Data!Q63=0,Data!Q63=""),"",Data!Q63)</f>
        <v/>
      </c>
      <c r="U148" s="251">
        <f>IFERROR(VLOOKUP(T148,Data!$H$4:$I$34,2,FALSE),"")</f>
        <v/>
      </c>
      <c r="V148" s="252">
        <f>IF(T148="","",0.5)</f>
        <v/>
      </c>
    </row>
    <row r="149">
      <c r="B149" s="450" t="n"/>
      <c r="S149" s="748" t="n"/>
      <c r="T149" s="746">
        <f>IF(OR(Data!Q64=0,Data!Q64=""),"",Data!Q64)</f>
        <v/>
      </c>
      <c r="U149" s="251">
        <f>IFERROR(VLOOKUP(T149,Data!$H$4:$I$34,2,FALSE),"")</f>
        <v/>
      </c>
      <c r="V149" s="252">
        <f>IF(T149="","",0.5)</f>
        <v/>
      </c>
    </row>
    <row r="150">
      <c r="B150" s="450" t="n"/>
      <c r="S150" s="748" t="n"/>
      <c r="T150" s="746">
        <f>IF(OR(Data!Q65=0,Data!Q65=""),"",Data!Q65)</f>
        <v/>
      </c>
      <c r="U150" s="251">
        <f>IFERROR(VLOOKUP(T150,Data!$H$4:$I$34,2,FALSE),"")</f>
        <v/>
      </c>
      <c r="V150" s="252">
        <f>IF(T150="","",0.5)</f>
        <v/>
      </c>
    </row>
    <row r="151">
      <c r="B151" s="450" t="n"/>
      <c r="S151" s="748" t="n"/>
      <c r="T151" s="746">
        <f>IF(OR(Data!Q66=0,Data!Q66=""),"",Data!Q66)</f>
        <v/>
      </c>
      <c r="U151" s="251">
        <f>IFERROR(VLOOKUP(T151,Data!$H$4:$I$34,2,FALSE),"")</f>
        <v/>
      </c>
      <c r="V151" s="252">
        <f>IF(T151="","",0.5)</f>
        <v/>
      </c>
    </row>
    <row r="152">
      <c r="B152" s="450" t="n"/>
      <c r="S152" s="749" t="n"/>
      <c r="T152" s="746">
        <f>IF(OR(Data!Q67=0,Data!Q67=""),"",Data!Q67)</f>
        <v/>
      </c>
      <c r="U152" s="251">
        <f>IFERROR(VLOOKUP(T152,Data!$H$4:$I$34,2,FALSE),"")</f>
        <v/>
      </c>
      <c r="V152" s="252">
        <f>IF(T152="","",0.5)</f>
        <v/>
      </c>
    </row>
    <row r="153">
      <c r="B153" s="450" t="n"/>
      <c r="S153" s="750" t="n"/>
      <c r="T153" s="746">
        <f>IF(OR(Data!Q68=0,Data!Q68=""),"",Data!Q68)</f>
        <v/>
      </c>
      <c r="U153" s="251">
        <f>IFERROR(VLOOKUP(T153,Data!$H$4:$I$34,2,FALSE),"")</f>
        <v/>
      </c>
      <c r="V153" s="252">
        <f>IF(T153="","",0.5)</f>
        <v/>
      </c>
    </row>
    <row r="154">
      <c r="B154" s="450" t="n"/>
      <c r="S154" s="245" t="n"/>
      <c r="T154" s="256">
        <f>IF(T155="","","B")</f>
        <v/>
      </c>
      <c r="U154" s="245" t="n"/>
      <c r="V154" s="245" t="n"/>
    </row>
    <row r="155">
      <c r="B155" s="450" t="n"/>
      <c r="S155" s="751" t="inlineStr">
        <is>
          <t>■慶弔休暇</t>
        </is>
      </c>
      <c r="T155" s="752">
        <f>IF(OR(Data!Q72=0,Data!Q72=""),"",Data!Q72)</f>
        <v/>
      </c>
      <c r="U155" s="251">
        <f>IFERROR(VLOOKUP(T155,Data!$H$4:$I$34,2,FALSE),"")</f>
        <v/>
      </c>
      <c r="V155" s="252">
        <f>IF(T155="","",1)</f>
        <v/>
      </c>
    </row>
    <row r="156">
      <c r="B156" s="450" t="n"/>
      <c r="S156" s="258" t="n"/>
      <c r="T156" s="752">
        <f>IF(OR(Data!Q73=0,Data!Q73=""),"",Data!Q73)</f>
        <v/>
      </c>
      <c r="U156" s="251">
        <f>IFERROR(VLOOKUP(T156,Data!$H$4:$I$34,2,FALSE),"")</f>
        <v/>
      </c>
      <c r="V156" s="252">
        <f>IF(T156="","",1)</f>
        <v/>
      </c>
    </row>
    <row r="157">
      <c r="B157" s="450" t="n"/>
      <c r="S157" s="258" t="n"/>
      <c r="T157" s="752">
        <f>IF(OR(Data!Q74=0,Data!Q74=""),"",Data!Q74)</f>
        <v/>
      </c>
      <c r="U157" s="251">
        <f>IFERROR(VLOOKUP(T157,Data!$H$4:$I$34,2,FALSE),"")</f>
        <v/>
      </c>
      <c r="V157" s="252">
        <f>IF(T157="","",1)</f>
        <v/>
      </c>
    </row>
    <row r="158">
      <c r="B158" s="450" t="n"/>
      <c r="S158" s="753" t="n"/>
      <c r="T158" s="752">
        <f>IF(OR(Data!Q75=0,Data!Q75=""),"",Data!Q75)</f>
        <v/>
      </c>
      <c r="U158" s="251">
        <f>IFERROR(VLOOKUP(T158,Data!$H$4:$I$34,2,FALSE),"")</f>
        <v/>
      </c>
      <c r="V158" s="252">
        <f>IF(T158="","",1)</f>
        <v/>
      </c>
    </row>
    <row r="159">
      <c r="B159" s="450" t="n"/>
      <c r="R159" s="242" t="n"/>
      <c r="S159" s="258" t="n"/>
      <c r="T159" s="752">
        <f>IF(OR(Data!Q76=0,Data!Q76=""),"",Data!Q76)</f>
        <v/>
      </c>
      <c r="U159" s="251">
        <f>IFERROR(VLOOKUP(T159,Data!$H$4:$I$34,2,FALSE),"")</f>
        <v/>
      </c>
      <c r="V159" s="252">
        <f>IF(T159="","",1)</f>
        <v/>
      </c>
    </row>
    <row r="160">
      <c r="B160" s="450" t="n"/>
      <c r="R160" s="242" t="n"/>
      <c r="S160" s="258" t="n"/>
      <c r="T160" s="752">
        <f>IF(OR(Data!Q77=0,Data!Q77=""),"",Data!Q77)</f>
        <v/>
      </c>
      <c r="U160" s="251">
        <f>IFERROR(VLOOKUP(T160,Data!$H$4:$I$34,2,FALSE),"")</f>
        <v/>
      </c>
      <c r="V160" s="252">
        <f>IF(T160="","",1)</f>
        <v/>
      </c>
    </row>
    <row r="161">
      <c r="B161" s="450" t="n"/>
      <c r="R161" s="242" t="n"/>
      <c r="S161" s="258" t="n"/>
      <c r="T161" s="752">
        <f>IF(OR(Data!Q78=0,Data!Q78=""),"",Data!Q78)</f>
        <v/>
      </c>
      <c r="U161" s="251">
        <f>IFERROR(VLOOKUP(T161,Data!$H$4:$I$34,2,FALSE),"")</f>
        <v/>
      </c>
      <c r="V161" s="252">
        <f>IF(T161="","",1)</f>
        <v/>
      </c>
    </row>
    <row r="162">
      <c r="B162" s="450" t="n"/>
      <c r="R162" s="242" t="n"/>
      <c r="S162" s="753" t="n"/>
      <c r="T162" s="752">
        <f>IF(OR(Data!Q79=0,Data!Q79=""),"",Data!Q79)</f>
        <v/>
      </c>
      <c r="U162" s="251">
        <f>IFERROR(VLOOKUP(T162,Data!$H$4:$I$34,2,FALSE),"")</f>
        <v/>
      </c>
      <c r="V162" s="252">
        <f>IF(T162="","",1)</f>
        <v/>
      </c>
    </row>
    <row r="163">
      <c r="B163" s="450" t="n"/>
      <c r="R163" s="243" t="n"/>
      <c r="S163" s="265" t="n"/>
      <c r="T163" s="752">
        <f>IF(OR(Data!Q80=0,Data!Q80=""),"",Data!Q80)</f>
        <v/>
      </c>
      <c r="U163" s="251">
        <f>IFERROR(VLOOKUP(T163,Data!$H$4:$I$34,2,FALSE),"")</f>
        <v/>
      </c>
      <c r="V163" s="252">
        <f>IF(T163="","",1)</f>
        <v/>
      </c>
    </row>
    <row r="164">
      <c r="B164" s="450" t="n"/>
      <c r="R164" s="243" t="n"/>
      <c r="S164" s="245" t="n"/>
      <c r="T164" s="256">
        <f>IF(T165="","","B")</f>
        <v/>
      </c>
      <c r="U164" s="245" t="n"/>
      <c r="V164" s="245" t="n"/>
    </row>
    <row r="165">
      <c r="B165" s="450" t="n"/>
      <c r="R165" s="242" t="n"/>
      <c r="S165" s="751" t="inlineStr">
        <is>
          <t>■振替休暇</t>
        </is>
      </c>
      <c r="T165" s="746">
        <f>IF(OR(Data!Q81=0,Data!Q81=""),"",Data!Q81)</f>
        <v/>
      </c>
      <c r="U165" s="251">
        <f>IFERROR(VLOOKUP(T165,Data!$H$4:$I$34,2,FALSE),"")</f>
        <v/>
      </c>
      <c r="V165" s="252">
        <f>IF(T165="","",1)</f>
        <v/>
      </c>
    </row>
    <row r="166">
      <c r="B166" s="450" t="n"/>
      <c r="R166" s="243" t="n"/>
      <c r="S166" s="258" t="n"/>
      <c r="T166" s="746">
        <f>IF(OR(Data!Q82=0,Data!Q82=""),"",Data!Q82)</f>
        <v/>
      </c>
      <c r="U166" s="251">
        <f>IFERROR(VLOOKUP(T166,Data!$H$4:$I$34,2,FALSE),"")</f>
        <v/>
      </c>
      <c r="V166" s="252">
        <f>IF(T166="","",1)</f>
        <v/>
      </c>
      <c r="X166" s="322" t="n"/>
    </row>
    <row r="167">
      <c r="B167" s="450" t="n"/>
      <c r="R167" s="243" t="n"/>
      <c r="S167" s="258" t="n"/>
      <c r="T167" s="746">
        <f>IF(OR(Data!Q83=0,Data!Q83=""),"",Data!Q83)</f>
        <v/>
      </c>
      <c r="U167" s="251">
        <f>IFERROR(VLOOKUP(T167,Data!$H$4:$I$34,2,FALSE),"")</f>
        <v/>
      </c>
      <c r="V167" s="252">
        <f>IF(T167="","",1)</f>
        <v/>
      </c>
      <c r="X167" s="322" t="n"/>
    </row>
    <row r="168">
      <c r="B168" s="450" t="n"/>
      <c r="R168" s="243" t="n"/>
      <c r="S168" s="266" t="n"/>
      <c r="T168" s="746">
        <f>IF(OR(Data!Q84=0,Data!Q84=""),"",Data!Q84)</f>
        <v/>
      </c>
      <c r="U168" s="251">
        <f>IFERROR(VLOOKUP(T168,Data!$H$4:$I$34,2,FALSE),"")</f>
        <v/>
      </c>
      <c r="V168" s="252">
        <f>IF(T168="","",1)</f>
        <v/>
      </c>
      <c r="X168" s="322" t="n"/>
    </row>
    <row r="169">
      <c r="B169" s="450" t="n"/>
      <c r="R169" s="244" t="n"/>
      <c r="S169" s="266" t="n"/>
      <c r="T169" s="746">
        <f>IF(OR(Data!Q85=0,Data!Q85=""),"",Data!Q85)</f>
        <v/>
      </c>
      <c r="U169" s="251">
        <f>IFERROR(VLOOKUP(T169,Data!$H$4:$I$34,2,FALSE),"")</f>
        <v/>
      </c>
      <c r="V169" s="252">
        <f>IF(T169="","",1)</f>
        <v/>
      </c>
      <c r="X169" s="322" t="n"/>
    </row>
    <row r="170">
      <c r="B170" s="450" t="n"/>
      <c r="R170" s="243" t="n"/>
      <c r="S170" s="266" t="n"/>
      <c r="T170" s="746">
        <f>IF(OR(Data!Q86=0,Data!Q86=""),"",Data!Q86)</f>
        <v/>
      </c>
      <c r="U170" s="251">
        <f>IFERROR(VLOOKUP(T170,Data!$H$4:$I$34,2,FALSE),"")</f>
        <v/>
      </c>
      <c r="V170" s="252">
        <f>IF(T170="","",1)</f>
        <v/>
      </c>
      <c r="X170" s="322" t="n"/>
    </row>
    <row r="171">
      <c r="R171" s="243" t="n"/>
      <c r="S171" s="266" t="n"/>
      <c r="T171" s="746">
        <f>IF(OR(Data!Q87=0,Data!Q87=""),"",Data!Q87)</f>
        <v/>
      </c>
      <c r="U171" s="251">
        <f>IFERROR(VLOOKUP(T171,Data!$H$4:$I$34,2,FALSE),"")</f>
        <v/>
      </c>
      <c r="V171" s="252">
        <f>IF(T171="","",1)</f>
        <v/>
      </c>
      <c r="X171" s="322" t="n"/>
    </row>
    <row r="172">
      <c r="R172" s="244" t="n"/>
      <c r="S172" s="266" t="n"/>
      <c r="T172" s="746">
        <f>IF(OR(Data!Q88=0,Data!Q88=""),"",Data!Q88)</f>
        <v/>
      </c>
      <c r="U172" s="251">
        <f>IFERROR(VLOOKUP(T172,Data!$H$4:$I$34,2,FALSE),"")</f>
        <v/>
      </c>
      <c r="V172" s="252">
        <f>IF(T172="","",1)</f>
        <v/>
      </c>
      <c r="X172" s="322" t="n"/>
    </row>
    <row r="173">
      <c r="R173" s="243" t="n"/>
      <c r="S173" s="266" t="n"/>
      <c r="T173" s="746">
        <f>IF(OR(Data!Q89=0,Data!Q89=""),"",Data!Q89)</f>
        <v/>
      </c>
      <c r="U173" s="251">
        <f>IFERROR(VLOOKUP(T173,Data!$H$4:$I$34,2,FALSE),"")</f>
        <v/>
      </c>
      <c r="V173" s="252">
        <f>IF(T173="","",1)</f>
        <v/>
      </c>
      <c r="X173" s="322" t="n"/>
    </row>
    <row r="174">
      <c r="R174" s="243" t="n"/>
      <c r="S174" s="266" t="n"/>
      <c r="T174" s="746">
        <f>IF(OR(Data!Q90=0,Data!Q90=""),"",Data!Q90)</f>
        <v/>
      </c>
      <c r="U174" s="251">
        <f>IFERROR(VLOOKUP(T174,Data!$H$4:$I$34,2,FALSE),"")</f>
        <v/>
      </c>
      <c r="V174" s="252">
        <f>IF(T174="","",1)</f>
        <v/>
      </c>
      <c r="X174" s="322" t="n"/>
    </row>
    <row r="175">
      <c r="R175" s="244" t="n"/>
      <c r="S175" s="266" t="n"/>
      <c r="T175" s="746">
        <f>IF(OR(Data!Q91=0,Data!Q91=""),"",Data!Q91)</f>
        <v/>
      </c>
      <c r="U175" s="251">
        <f>IFERROR(VLOOKUP(T175,Data!$H$4:$I$34,2,FALSE),"")</f>
        <v/>
      </c>
      <c r="V175" s="252">
        <f>IF(T175="","",1)</f>
        <v/>
      </c>
      <c r="X175" s="322" t="n"/>
    </row>
    <row r="176">
      <c r="R176" s="243" t="n"/>
      <c r="S176" s="266" t="n"/>
      <c r="T176" s="746">
        <f>IF(OR(Data!Q92=0,Data!Q92=""),"",Data!Q92)</f>
        <v/>
      </c>
      <c r="U176" s="251">
        <f>IFERROR(VLOOKUP(T176,Data!$H$4:$I$34,2,FALSE),"")</f>
        <v/>
      </c>
      <c r="V176" s="252">
        <f>IF(T176="","",1)</f>
        <v/>
      </c>
      <c r="X176" s="322" t="n"/>
    </row>
    <row r="177">
      <c r="R177" s="243" t="n"/>
      <c r="S177" s="266" t="n"/>
      <c r="T177" s="746">
        <f>IF(OR(Data!Q93=0,Data!Q93=""),"",Data!Q93)</f>
        <v/>
      </c>
      <c r="U177" s="251">
        <f>IFERROR(VLOOKUP(T177,Data!$H$4:$I$34,2,FALSE),"")</f>
        <v/>
      </c>
      <c r="V177" s="252">
        <f>IF(T177="","",1)</f>
        <v/>
      </c>
      <c r="X177" s="322" t="n"/>
    </row>
    <row r="178">
      <c r="R178" s="243" t="n"/>
      <c r="S178" s="266" t="n"/>
      <c r="T178" s="746">
        <f>IF(OR(Data!Q94=0,Data!Q94=""),"",Data!Q94)</f>
        <v/>
      </c>
      <c r="U178" s="251">
        <f>IFERROR(VLOOKUP(T178,Data!$H$4:$I$34,2,FALSE),"")</f>
        <v/>
      </c>
      <c r="V178" s="252">
        <f>IF(T178="","",1)</f>
        <v/>
      </c>
      <c r="X178" s="322" t="n"/>
    </row>
    <row r="179">
      <c r="R179" s="243" t="n"/>
      <c r="S179" s="266" t="n"/>
      <c r="T179" s="746">
        <f>IF(OR(Data!Q95=0,Data!Q95=""),"",Data!Q95)</f>
        <v/>
      </c>
      <c r="U179" s="251">
        <f>IFERROR(VLOOKUP(T179,Data!$H$4:$I$34,2,FALSE),"")</f>
        <v/>
      </c>
      <c r="V179" s="252">
        <f>IF(T179="","",1)</f>
        <v/>
      </c>
      <c r="X179" s="322" t="n"/>
    </row>
    <row r="180">
      <c r="R180" s="243" t="n"/>
      <c r="S180" s="266" t="n"/>
      <c r="T180" s="746">
        <f>IF(OR(Data!Q96=0,Data!Q96=""),"",Data!Q96)</f>
        <v/>
      </c>
      <c r="U180" s="251">
        <f>IFERROR(VLOOKUP(T180,Data!$H$4:$I$34,2,FALSE),"")</f>
        <v/>
      </c>
      <c r="V180" s="252">
        <f>IF(T180="","",1)</f>
        <v/>
      </c>
      <c r="X180" s="322" t="n"/>
    </row>
    <row r="181">
      <c r="R181" s="243" t="n"/>
      <c r="S181" s="266" t="n"/>
      <c r="T181" s="746">
        <f>IF(OR(Data!Q97=0,Data!Q97=""),"",Data!Q97)</f>
        <v/>
      </c>
      <c r="U181" s="251">
        <f>IFERROR(VLOOKUP(T181,Data!$H$4:$I$34,2,FALSE),"")</f>
        <v/>
      </c>
      <c r="V181" s="252">
        <f>IF(T181="","",1)</f>
        <v/>
      </c>
      <c r="X181" s="322" t="n"/>
    </row>
    <row r="182">
      <c r="R182" s="243" t="n"/>
      <c r="S182" s="266" t="n"/>
      <c r="T182" s="746">
        <f>IF(OR(Data!Q98=0,Data!Q98=""),"",Data!Q98)</f>
        <v/>
      </c>
      <c r="U182" s="251">
        <f>IFERROR(VLOOKUP(T182,Data!$H$4:$I$34,2,FALSE),"")</f>
        <v/>
      </c>
      <c r="V182" s="252">
        <f>IF(T182="","",1)</f>
        <v/>
      </c>
      <c r="X182" s="322" t="n"/>
    </row>
    <row r="183">
      <c r="R183" s="243" t="n"/>
      <c r="S183" s="266" t="n"/>
      <c r="T183" s="746">
        <f>IF(OR(Data!Q99=0,Data!Q99=""),"",Data!Q99)</f>
        <v/>
      </c>
      <c r="U183" s="251">
        <f>IFERROR(VLOOKUP(T183,Data!$H$4:$I$34,2,FALSE),"")</f>
        <v/>
      </c>
      <c r="V183" s="252">
        <f>IF(T183="","",1)</f>
        <v/>
      </c>
      <c r="X183" s="322" t="n"/>
    </row>
    <row r="184">
      <c r="R184" s="243" t="n"/>
      <c r="S184" s="266" t="n"/>
      <c r="T184" s="746">
        <f>IF(OR(Data!Q100=0,Data!Q100=""),"",Data!Q100)</f>
        <v/>
      </c>
      <c r="U184" s="251">
        <f>IFERROR(VLOOKUP(T184,Data!$H$4:$I$34,2,FALSE),"")</f>
        <v/>
      </c>
      <c r="V184" s="252">
        <f>IF(T184="","",1)</f>
        <v/>
      </c>
      <c r="X184" s="322" t="n"/>
    </row>
    <row r="185">
      <c r="R185" s="243" t="n"/>
      <c r="S185" s="266" t="n"/>
      <c r="T185" s="746">
        <f>IF(OR(Data!Q101=0,Data!Q101=""),"",Data!Q101)</f>
        <v/>
      </c>
      <c r="U185" s="251">
        <f>IFERROR(VLOOKUP(T185,Data!$H$4:$I$34,2,FALSE),"")</f>
        <v/>
      </c>
      <c r="V185" s="252">
        <f>IF(T185="","",1)</f>
        <v/>
      </c>
      <c r="X185" s="322" t="n"/>
    </row>
    <row r="186">
      <c r="R186" s="243" t="n"/>
      <c r="S186" s="266" t="n"/>
      <c r="T186" s="746">
        <f>IF(OR(Data!Q102=0,Data!Q102=""),"",Data!Q102)</f>
        <v/>
      </c>
      <c r="U186" s="251">
        <f>IFERROR(VLOOKUP(T186,Data!$H$4:$I$34,2,FALSE),"")</f>
        <v/>
      </c>
      <c r="V186" s="252">
        <f>IF(T186="","",1)</f>
        <v/>
      </c>
      <c r="X186" s="322" t="n"/>
    </row>
    <row r="187">
      <c r="R187" s="243" t="n"/>
      <c r="S187" s="266" t="n"/>
      <c r="T187" s="746">
        <f>IF(OR(Data!Q103=0,Data!Q103=""),"",Data!Q103)</f>
        <v/>
      </c>
      <c r="U187" s="251">
        <f>IFERROR(VLOOKUP(T187,Data!$H$4:$I$34,2,FALSE),"")</f>
        <v/>
      </c>
      <c r="V187" s="252">
        <f>IF(T187="","",1)</f>
        <v/>
      </c>
      <c r="X187" s="322" t="n"/>
    </row>
    <row r="188">
      <c r="R188" s="243" t="n"/>
      <c r="S188" s="266" t="n"/>
      <c r="T188" s="746">
        <f>IF(OR(Data!Q104=0,Data!Q104=""),"",Data!Q104)</f>
        <v/>
      </c>
      <c r="U188" s="251">
        <f>IFERROR(VLOOKUP(T188,Data!$H$4:$I$34,2,FALSE),"")</f>
        <v/>
      </c>
      <c r="V188" s="252">
        <f>IF(T188="","",1)</f>
        <v/>
      </c>
      <c r="X188" s="322" t="n"/>
    </row>
    <row r="189">
      <c r="R189" s="243" t="n"/>
      <c r="S189" s="266" t="n"/>
      <c r="T189" s="746">
        <f>IF(OR(Data!Q105=0,Data!Q105=""),"",Data!Q105)</f>
        <v/>
      </c>
      <c r="U189" s="251">
        <f>IFERROR(VLOOKUP(T189,Data!$H$4:$I$34,2,FALSE),"")</f>
        <v/>
      </c>
      <c r="V189" s="252">
        <f>IF(T189="","",1)</f>
        <v/>
      </c>
      <c r="X189" s="322" t="n"/>
    </row>
    <row r="190">
      <c r="R190" s="243" t="n"/>
      <c r="S190" s="266" t="n"/>
      <c r="T190" s="746">
        <f>IF(OR(Data!Q106=0,Data!Q106=""),"",Data!Q106)</f>
        <v/>
      </c>
      <c r="U190" s="251">
        <f>IFERROR(VLOOKUP(T190,Data!$H$4:$I$34,2,FALSE),"")</f>
        <v/>
      </c>
      <c r="V190" s="252">
        <f>IF(T190="","",1)</f>
        <v/>
      </c>
      <c r="X190" s="322" t="n"/>
    </row>
    <row r="191">
      <c r="R191" s="243" t="n"/>
      <c r="S191" s="266" t="n"/>
      <c r="T191" s="746">
        <f>IF(OR(Data!Q107=0,Data!Q107=""),"",Data!Q107)</f>
        <v/>
      </c>
      <c r="U191" s="251">
        <f>IFERROR(VLOOKUP(T191,Data!$H$4:$I$34,2,FALSE),"")</f>
        <v/>
      </c>
      <c r="V191" s="252">
        <f>IF(T191="","",1)</f>
        <v/>
      </c>
      <c r="X191" s="322" t="n"/>
    </row>
    <row r="192">
      <c r="R192" s="243" t="n"/>
      <c r="S192" s="266" t="n"/>
      <c r="T192" s="746">
        <f>IF(OR(Data!Q108=0,Data!Q108=""),"",Data!Q108)</f>
        <v/>
      </c>
      <c r="U192" s="251">
        <f>IFERROR(VLOOKUP(T192,Data!$H$4:$I$34,2,FALSE),"")</f>
        <v/>
      </c>
      <c r="V192" s="252">
        <f>IF(T192="","",1)</f>
        <v/>
      </c>
      <c r="X192" s="322" t="n"/>
    </row>
    <row r="193">
      <c r="R193" s="243" t="n"/>
      <c r="S193" s="266" t="n"/>
      <c r="T193" s="746">
        <f>IF(OR(Data!Q109=0,Data!Q109=""),"",Data!Q109)</f>
        <v/>
      </c>
      <c r="U193" s="251">
        <f>IFERROR(VLOOKUP(T193,Data!$H$4:$I$34,2,FALSE),"")</f>
        <v/>
      </c>
      <c r="V193" s="252">
        <f>IF(T193="","",1)</f>
        <v/>
      </c>
      <c r="X193" s="322" t="n"/>
    </row>
    <row r="194">
      <c r="R194" s="243" t="n"/>
      <c r="S194" s="266" t="n"/>
      <c r="T194" s="746">
        <f>IF(OR(Data!Q110=0,Data!Q110=""),"",Data!Q110)</f>
        <v/>
      </c>
      <c r="U194" s="251">
        <f>IFERROR(VLOOKUP(T194,Data!$H$4:$I$34,2,FALSE),"")</f>
        <v/>
      </c>
      <c r="V194" s="252">
        <f>IF(T194="","",1)</f>
        <v/>
      </c>
      <c r="X194" s="322" t="n"/>
    </row>
    <row r="195">
      <c r="R195" s="243" t="n"/>
      <c r="S195" s="267" t="n"/>
      <c r="T195" s="746">
        <f>IF(OR(Data!Q111=0,Data!Q111=""),"",Data!Q111)</f>
        <v/>
      </c>
      <c r="U195" s="251">
        <f>IFERROR(VLOOKUP(T195,Data!$H$4:$I$34,2,FALSE),"")</f>
        <v/>
      </c>
      <c r="V195" s="252">
        <f>IF(T195="","",1)</f>
        <v/>
      </c>
      <c r="X195" s="322" t="n"/>
    </row>
    <row r="196">
      <c r="R196" s="243" t="n"/>
      <c r="S196" s="245" t="n"/>
      <c r="T196" s="256">
        <f>IF(T197="","","B")</f>
        <v/>
      </c>
      <c r="U196" s="245" t="n"/>
      <c r="V196" s="245" t="n"/>
      <c r="X196" s="322" t="n"/>
    </row>
    <row r="197">
      <c r="R197" s="243" t="n"/>
      <c r="S197" s="257" t="inlineStr">
        <is>
          <t>■振替休暇（半日）</t>
        </is>
      </c>
      <c r="T197" s="746">
        <f>IF(OR(Data!Q122=0,Data!Q122=""),"",Data!Q122)</f>
        <v/>
      </c>
      <c r="U197" s="251">
        <f>IFERROR(VLOOKUP(T197,Data!$H$4:$I$34,2,FALSE),"")</f>
        <v/>
      </c>
      <c r="V197" s="252">
        <f>IF(T197="","",0.5)</f>
        <v/>
      </c>
      <c r="X197" s="322" t="n"/>
    </row>
    <row r="198">
      <c r="R198" s="243" t="n"/>
      <c r="S198" s="266" t="n"/>
      <c r="T198" s="746">
        <f>IF(OR(Data!Q123=0,Data!Q123=""),"",Data!Q123)</f>
        <v/>
      </c>
      <c r="U198" s="251">
        <f>IFERROR(VLOOKUP(T198,Data!$H$4:$I$34,2,FALSE),"")</f>
        <v/>
      </c>
      <c r="V198" s="252">
        <f>IF(T198="","",0.5)</f>
        <v/>
      </c>
      <c r="X198" s="322" t="n"/>
    </row>
    <row r="199">
      <c r="R199" s="243" t="n"/>
      <c r="S199" s="266" t="n"/>
      <c r="T199" s="746">
        <f>IF(OR(Data!Q124=0,Data!Q124=""),"",Data!Q124)</f>
        <v/>
      </c>
      <c r="U199" s="251">
        <f>IFERROR(VLOOKUP(T199,Data!$H$4:$I$34,2,FALSE),"")</f>
        <v/>
      </c>
      <c r="V199" s="252">
        <f>IF(T199="","",0.5)</f>
        <v/>
      </c>
      <c r="X199" s="322" t="n"/>
    </row>
    <row r="200">
      <c r="R200" s="243" t="n"/>
      <c r="S200" s="266" t="n"/>
      <c r="T200" s="746">
        <f>IF(OR(Data!Q125=0,Data!Q125=""),"",Data!Q125)</f>
        <v/>
      </c>
      <c r="U200" s="251">
        <f>IFERROR(VLOOKUP(T200,Data!$H$4:$I$34,2,FALSE),"")</f>
        <v/>
      </c>
      <c r="V200" s="252">
        <f>IF(T200="","",0.5)</f>
        <v/>
      </c>
      <c r="X200" s="322" t="n"/>
    </row>
    <row r="201">
      <c r="R201" s="243" t="n"/>
      <c r="S201" s="266" t="n"/>
      <c r="T201" s="746">
        <f>IF(OR(Data!Q126=0,Data!Q126=""),"",Data!Q126)</f>
        <v/>
      </c>
      <c r="U201" s="251">
        <f>IFERROR(VLOOKUP(T201,Data!$H$4:$I$34,2,FALSE),"")</f>
        <v/>
      </c>
      <c r="V201" s="252">
        <f>IF(T201="","",0.5)</f>
        <v/>
      </c>
      <c r="X201" s="322" t="n"/>
    </row>
    <row r="202">
      <c r="R202" s="243" t="n"/>
      <c r="S202" s="266" t="n"/>
      <c r="T202" s="746">
        <f>IF(OR(Data!Q127=0,Data!Q127=""),"",Data!Q127)</f>
        <v/>
      </c>
      <c r="U202" s="251">
        <f>IFERROR(VLOOKUP(T202,Data!$H$4:$I$34,2,FALSE),"")</f>
        <v/>
      </c>
      <c r="V202" s="252">
        <f>IF(T202="","",0.5)</f>
        <v/>
      </c>
      <c r="X202" s="322" t="n"/>
    </row>
    <row r="203">
      <c r="R203" s="243" t="n"/>
      <c r="S203" s="266" t="n"/>
      <c r="T203" s="746">
        <f>IF(OR(Data!Q128=0,Data!Q128=""),"",Data!Q128)</f>
        <v/>
      </c>
      <c r="U203" s="251">
        <f>IFERROR(VLOOKUP(T203,Data!$H$4:$I$34,2,FALSE),"")</f>
        <v/>
      </c>
      <c r="V203" s="252">
        <f>IF(T203="","",0.5)</f>
        <v/>
      </c>
      <c r="X203" s="322" t="n"/>
    </row>
    <row r="204">
      <c r="R204" s="243" t="n"/>
      <c r="S204" s="266" t="n"/>
      <c r="T204" s="746">
        <f>IF(OR(Data!Q129=0,Data!Q129=""),"",Data!Q129)</f>
        <v/>
      </c>
      <c r="U204" s="251">
        <f>IFERROR(VLOOKUP(T204,Data!$H$4:$I$34,2,FALSE),"")</f>
        <v/>
      </c>
      <c r="V204" s="252">
        <f>IF(T204="","",0.5)</f>
        <v/>
      </c>
      <c r="X204" s="322" t="n"/>
    </row>
    <row r="205">
      <c r="R205" s="243" t="n"/>
      <c r="S205" s="266" t="n"/>
      <c r="T205" s="746">
        <f>IF(OR(Data!Q130=0,Data!Q130=""),"",Data!Q130)</f>
        <v/>
      </c>
      <c r="U205" s="251">
        <f>IFERROR(VLOOKUP(T205,Data!$H$4:$I$34,2,FALSE),"")</f>
        <v/>
      </c>
      <c r="V205" s="252">
        <f>IF(T205="","",0.5)</f>
        <v/>
      </c>
      <c r="X205" s="322" t="n"/>
    </row>
    <row r="206">
      <c r="R206" s="243" t="n"/>
      <c r="S206" s="266" t="n"/>
      <c r="T206" s="746">
        <f>IF(OR(Data!Q131=0,Data!Q131=""),"",Data!Q131)</f>
        <v/>
      </c>
      <c r="U206" s="251">
        <f>IFERROR(VLOOKUP(T206,Data!$H$4:$I$34,2,FALSE),"")</f>
        <v/>
      </c>
      <c r="V206" s="252">
        <f>IF(T206="","",0.5)</f>
        <v/>
      </c>
      <c r="X206" s="322" t="n"/>
    </row>
    <row r="207">
      <c r="R207" s="243" t="n"/>
      <c r="S207" s="266" t="n"/>
      <c r="T207" s="746">
        <f>IF(OR(Data!Q132=0,Data!Q132=""),"",Data!Q132)</f>
        <v/>
      </c>
      <c r="U207" s="251">
        <f>IFERROR(VLOOKUP(T207,Data!$H$4:$I$34,2,FALSE),"")</f>
        <v/>
      </c>
      <c r="V207" s="252">
        <f>IF(T207="","",0.5)</f>
        <v/>
      </c>
      <c r="X207" s="322" t="n"/>
    </row>
    <row r="208">
      <c r="R208" s="243" t="n"/>
      <c r="S208" s="266" t="n"/>
      <c r="T208" s="746">
        <f>IF(OR(Data!Q133=0,Data!Q133=""),"",Data!Q133)</f>
        <v/>
      </c>
      <c r="U208" s="251">
        <f>IFERROR(VLOOKUP(T208,Data!$H$4:$I$34,2,FALSE),"")</f>
        <v/>
      </c>
      <c r="V208" s="252">
        <f>IF(T208="","",0.5)</f>
        <v/>
      </c>
      <c r="X208" s="322" t="n"/>
    </row>
    <row r="209">
      <c r="R209" s="243" t="n"/>
      <c r="S209" s="266" t="n"/>
      <c r="T209" s="746">
        <f>IF(OR(Data!Q134=0,Data!Q134=""),"",Data!Q134)</f>
        <v/>
      </c>
      <c r="U209" s="251">
        <f>IFERROR(VLOOKUP(T209,Data!$H$4:$I$34,2,FALSE),"")</f>
        <v/>
      </c>
      <c r="V209" s="252">
        <f>IF(T209="","",0.5)</f>
        <v/>
      </c>
      <c r="X209" s="322" t="n"/>
    </row>
    <row r="210">
      <c r="R210" s="243" t="n"/>
      <c r="S210" s="266" t="n"/>
      <c r="T210" s="746">
        <f>IF(OR(Data!Q135=0,Data!Q135=""),"",Data!Q135)</f>
        <v/>
      </c>
      <c r="U210" s="251">
        <f>IFERROR(VLOOKUP(T210,Data!$H$4:$I$34,2,FALSE),"")</f>
        <v/>
      </c>
      <c r="V210" s="252">
        <f>IF(T210="","",0.5)</f>
        <v/>
      </c>
      <c r="X210" s="322" t="n"/>
    </row>
    <row r="211">
      <c r="R211" s="243" t="n"/>
      <c r="S211" s="266" t="n"/>
      <c r="T211" s="746">
        <f>IF(OR(Data!Q136=0,Data!Q136=""),"",Data!Q136)</f>
        <v/>
      </c>
      <c r="U211" s="251">
        <f>IFERROR(VLOOKUP(T211,Data!$H$4:$I$34,2,FALSE),"")</f>
        <v/>
      </c>
      <c r="V211" s="252">
        <f>IF(T211="","",0.5)</f>
        <v/>
      </c>
      <c r="X211" s="322" t="n"/>
    </row>
    <row r="212">
      <c r="R212" s="243" t="n"/>
      <c r="S212" s="266" t="n"/>
      <c r="T212" s="746">
        <f>IF(OR(Data!Q137=0,Data!Q137=""),"",Data!Q137)</f>
        <v/>
      </c>
      <c r="U212" s="251">
        <f>IFERROR(VLOOKUP(T212,Data!$H$4:$I$34,2,FALSE),"")</f>
        <v/>
      </c>
      <c r="V212" s="252">
        <f>IF(T212="","",0.5)</f>
        <v/>
      </c>
      <c r="X212" s="322" t="n"/>
    </row>
    <row r="213">
      <c r="R213" s="243" t="n"/>
      <c r="S213" s="266" t="n"/>
      <c r="T213" s="746">
        <f>IF(OR(Data!Q138=0,Data!Q138=""),"",Data!Q138)</f>
        <v/>
      </c>
      <c r="U213" s="251">
        <f>IFERROR(VLOOKUP(T213,Data!$H$4:$I$34,2,FALSE),"")</f>
        <v/>
      </c>
      <c r="V213" s="252">
        <f>IF(T213="","",0.5)</f>
        <v/>
      </c>
      <c r="X213" s="322" t="n"/>
    </row>
    <row r="214">
      <c r="R214" s="243" t="n"/>
      <c r="S214" s="266" t="n"/>
      <c r="T214" s="746">
        <f>IF(OR(Data!Q139=0,Data!Q139=""),"",Data!Q139)</f>
        <v/>
      </c>
      <c r="U214" s="251">
        <f>IFERROR(VLOOKUP(T214,Data!$H$4:$I$34,2,FALSE),"")</f>
        <v/>
      </c>
      <c r="V214" s="252">
        <f>IF(T214="","",0.5)</f>
        <v/>
      </c>
      <c r="X214" s="322" t="n"/>
    </row>
    <row r="215">
      <c r="R215" s="243" t="n"/>
      <c r="S215" s="266" t="n"/>
      <c r="T215" s="746">
        <f>IF(OR(Data!Q140=0,Data!Q140=""),"",Data!Q140)</f>
        <v/>
      </c>
      <c r="U215" s="251">
        <f>IFERROR(VLOOKUP(T215,Data!$H$4:$I$34,2,FALSE),"")</f>
        <v/>
      </c>
      <c r="V215" s="252">
        <f>IF(T215="","",0.5)</f>
        <v/>
      </c>
      <c r="X215" s="322" t="n"/>
    </row>
    <row r="216">
      <c r="R216" s="243" t="n"/>
      <c r="S216" s="266" t="n"/>
      <c r="T216" s="746">
        <f>IF(OR(Data!Q141=0,Data!Q141=""),"",Data!Q141)</f>
        <v/>
      </c>
      <c r="U216" s="251">
        <f>IFERROR(VLOOKUP(T216,Data!$H$4:$I$34,2,FALSE),"")</f>
        <v/>
      </c>
      <c r="V216" s="252">
        <f>IF(T216="","",0.5)</f>
        <v/>
      </c>
      <c r="X216" s="322" t="n"/>
    </row>
    <row r="217">
      <c r="R217" s="243" t="n"/>
      <c r="S217" s="266" t="n"/>
      <c r="T217" s="746">
        <f>IF(OR(Data!Q142=0,Data!Q142=""),"",Data!Q142)</f>
        <v/>
      </c>
      <c r="U217" s="251">
        <f>IFERROR(VLOOKUP(T217,Data!$H$4:$I$34,2,FALSE),"")</f>
        <v/>
      </c>
      <c r="V217" s="252">
        <f>IF(T217="","",0.5)</f>
        <v/>
      </c>
      <c r="X217" s="322" t="n"/>
    </row>
    <row r="218">
      <c r="R218" s="243" t="n"/>
      <c r="S218" s="266" t="n"/>
      <c r="T218" s="746">
        <f>IF(OR(Data!Q143=0,Data!Q143=""),"",Data!Q143)</f>
        <v/>
      </c>
      <c r="U218" s="251">
        <f>IFERROR(VLOOKUP(T218,Data!$H$4:$I$34,2,FALSE),"")</f>
        <v/>
      </c>
      <c r="V218" s="252">
        <f>IF(T218="","",0.5)</f>
        <v/>
      </c>
      <c r="X218" s="322" t="n"/>
    </row>
    <row r="219">
      <c r="R219" s="243" t="n"/>
      <c r="S219" s="266" t="n"/>
      <c r="T219" s="746">
        <f>IF(OR(Data!Q144=0,Data!Q144=""),"",Data!Q144)</f>
        <v/>
      </c>
      <c r="U219" s="251">
        <f>IFERROR(VLOOKUP(T219,Data!$H$4:$I$34,2,FALSE),"")</f>
        <v/>
      </c>
      <c r="V219" s="252">
        <f>IF(T219="","",0.5)</f>
        <v/>
      </c>
      <c r="X219" s="322" t="n"/>
    </row>
    <row r="220">
      <c r="R220" s="243" t="n"/>
      <c r="S220" s="266" t="n"/>
      <c r="T220" s="746">
        <f>IF(OR(Data!Q145=0,Data!Q145=""),"",Data!Q145)</f>
        <v/>
      </c>
      <c r="U220" s="251">
        <f>IFERROR(VLOOKUP(T220,Data!$H$4:$I$34,2,FALSE),"")</f>
        <v/>
      </c>
      <c r="V220" s="252">
        <f>IF(T220="","",0.5)</f>
        <v/>
      </c>
      <c r="X220" s="322" t="n"/>
    </row>
    <row r="221">
      <c r="R221" s="243" t="n"/>
      <c r="S221" s="266" t="n"/>
      <c r="T221" s="746">
        <f>IF(OR(Data!Q146=0,Data!Q146=""),"",Data!Q146)</f>
        <v/>
      </c>
      <c r="U221" s="251">
        <f>IFERROR(VLOOKUP(T221,Data!$H$4:$I$34,2,FALSE),"")</f>
        <v/>
      </c>
      <c r="V221" s="252">
        <f>IF(T221="","",0.5)</f>
        <v/>
      </c>
      <c r="X221" s="322" t="n"/>
    </row>
    <row r="222">
      <c r="R222" s="243" t="n"/>
      <c r="S222" s="266" t="n"/>
      <c r="T222" s="746">
        <f>IF(OR(Data!Q147=0,Data!Q147=""),"",Data!Q147)</f>
        <v/>
      </c>
      <c r="U222" s="251">
        <f>IFERROR(VLOOKUP(T222,Data!$H$4:$I$34,2,FALSE),"")</f>
        <v/>
      </c>
      <c r="V222" s="252">
        <f>IF(T222="","",0.5)</f>
        <v/>
      </c>
      <c r="X222" s="322" t="n"/>
    </row>
    <row r="223">
      <c r="R223" s="243" t="n"/>
      <c r="S223" s="266" t="n"/>
      <c r="T223" s="746">
        <f>IF(OR(Data!Q148=0,Data!Q148=""),"",Data!Q148)</f>
        <v/>
      </c>
      <c r="U223" s="251">
        <f>IFERROR(VLOOKUP(T223,Data!$H$4:$I$34,2,FALSE),"")</f>
        <v/>
      </c>
      <c r="V223" s="252">
        <f>IF(T223="","",0.5)</f>
        <v/>
      </c>
      <c r="X223" s="322" t="n"/>
    </row>
    <row r="224">
      <c r="R224" s="243" t="n"/>
      <c r="S224" s="266" t="n"/>
      <c r="T224" s="746">
        <f>IF(OR(Data!Q149=0,Data!Q149=""),"",Data!Q149)</f>
        <v/>
      </c>
      <c r="U224" s="251">
        <f>IFERROR(VLOOKUP(T224,Data!$H$4:$I$34,2,FALSE),"")</f>
        <v/>
      </c>
      <c r="V224" s="252">
        <f>IF(T224="","",0.5)</f>
        <v/>
      </c>
      <c r="X224" s="322" t="n"/>
    </row>
    <row r="225">
      <c r="R225" s="243" t="n"/>
      <c r="S225" s="266" t="n"/>
      <c r="T225" s="746">
        <f>IF(OR(Data!Q150=0,Data!Q150=""),"",Data!Q150)</f>
        <v/>
      </c>
      <c r="U225" s="251">
        <f>IFERROR(VLOOKUP(T225,Data!$H$4:$I$34,2,FALSE),"")</f>
        <v/>
      </c>
      <c r="V225" s="252">
        <f>IF(T225="","",0.5)</f>
        <v/>
      </c>
      <c r="X225" s="322" t="n"/>
    </row>
    <row r="226">
      <c r="R226" s="243" t="n"/>
      <c r="S226" s="266" t="n"/>
      <c r="T226" s="746">
        <f>IF(OR(Data!Q151=0,Data!Q151=""),"",Data!Q151)</f>
        <v/>
      </c>
      <c r="U226" s="251">
        <f>IFERROR(VLOOKUP(T226,Data!$H$4:$I$34,2,FALSE),"")</f>
        <v/>
      </c>
      <c r="V226" s="252">
        <f>IF(T226="","",0.5)</f>
        <v/>
      </c>
    </row>
    <row r="227">
      <c r="R227" s="243" t="n"/>
      <c r="S227" s="266" t="n"/>
      <c r="T227" s="746">
        <f>IF(OR(Data!Q152=0,Data!Q152=""),"",Data!Q152)</f>
        <v/>
      </c>
      <c r="U227" s="251">
        <f>IFERROR(VLOOKUP(T227,Data!$H$4:$I$34,2,FALSE),"")</f>
        <v/>
      </c>
      <c r="V227" s="252">
        <f>IF(T227="","",0.5)</f>
        <v/>
      </c>
    </row>
    <row r="228">
      <c r="R228" s="243" t="n"/>
      <c r="S228" s="245" t="n"/>
      <c r="T228" s="256">
        <f>IF(T229="","","B")</f>
        <v/>
      </c>
      <c r="U228" s="245" t="n"/>
      <c r="V228" s="245" t="n"/>
    </row>
    <row r="229">
      <c r="R229" s="244" t="n"/>
      <c r="S229" s="751" t="inlineStr">
        <is>
          <t>■会社規定休</t>
        </is>
      </c>
      <c r="T229" s="746">
        <f>IF(OR(Data!Q115=0,Data!Q115=""),"",Data!Q115)</f>
        <v/>
      </c>
      <c r="U229" s="251">
        <f>IFERROR(VLOOKUP(T229,Data!$H$4:$I$34,2,FALSE),"")</f>
        <v/>
      </c>
      <c r="V229" s="252">
        <f>IF(T229="","",1)</f>
        <v/>
      </c>
    </row>
    <row r="230">
      <c r="R230" s="242" t="n"/>
      <c r="S230" s="266" t="n"/>
      <c r="T230" s="746">
        <f>IF(OR(Data!Q116=0,Data!Q116=""),"",Data!Q116)</f>
        <v/>
      </c>
      <c r="U230" s="251">
        <f>IFERROR(VLOOKUP(T230,Data!$H$4:$I$34,2,FALSE),"")</f>
        <v/>
      </c>
      <c r="V230" s="252">
        <f>IF(T230="","",1)</f>
        <v/>
      </c>
    </row>
    <row r="231">
      <c r="R231" s="242" t="n"/>
      <c r="S231" s="266" t="n"/>
      <c r="T231" s="746">
        <f>IF(OR(Data!Q117=0,Data!Q117=""),"",Data!Q117)</f>
        <v/>
      </c>
      <c r="U231" s="251">
        <f>IFERROR(VLOOKUP(T231,Data!$H$4:$I$34,2,FALSE),"")</f>
        <v/>
      </c>
      <c r="V231" s="252">
        <f>IF(T231="","",1)</f>
        <v/>
      </c>
    </row>
    <row r="232">
      <c r="R232" s="242" t="n"/>
      <c r="S232" s="266" t="n"/>
      <c r="T232" s="746">
        <f>IF(OR(Data!Q118=0,Data!Q118=""),"",Data!Q118)</f>
        <v/>
      </c>
      <c r="U232" s="251">
        <f>IFERROR(VLOOKUP(T232,Data!$H$4:$I$34,2,FALSE),"")</f>
        <v/>
      </c>
      <c r="V232" s="252">
        <f>IF(T232="","",1)</f>
        <v/>
      </c>
    </row>
    <row r="233">
      <c r="R233" s="242" t="n"/>
      <c r="S233" s="266" t="n"/>
      <c r="T233" s="746">
        <f>IF(OR(Data!Q119=0,Data!Q119=""),"",Data!Q119)</f>
        <v/>
      </c>
      <c r="U233" s="251">
        <f>IFERROR(VLOOKUP(T233,Data!$H$4:$I$34,2,FALSE),"")</f>
        <v/>
      </c>
      <c r="V233" s="252">
        <f>IF(T233="","",1)</f>
        <v/>
      </c>
    </row>
    <row r="234">
      <c r="R234" s="242" t="n"/>
      <c r="S234" s="266" t="n"/>
      <c r="T234" s="746">
        <f>IF(OR(Data!Q120=0,Data!Q120=""),"",Data!Q120)</f>
        <v/>
      </c>
      <c r="U234" s="251">
        <f>IFERROR(VLOOKUP(T234,Data!$H$4:$I$34,2,FALSE),"")</f>
        <v/>
      </c>
      <c r="V234" s="252">
        <f>IF(T234="","",1)</f>
        <v/>
      </c>
    </row>
    <row r="235">
      <c r="R235" s="242" t="n"/>
      <c r="S235" s="245" t="n"/>
      <c r="T235" s="245" t="n"/>
      <c r="U235" s="245" t="n"/>
      <c r="V235" s="245" t="n"/>
    </row>
    <row r="236">
      <c r="R236" s="242" t="n"/>
      <c r="S236" s="245" t="n"/>
      <c r="T236" s="245" t="n"/>
      <c r="U236" s="245" t="n"/>
      <c r="V236" s="245" t="n"/>
    </row>
    <row r="237">
      <c r="R237" s="242" t="n"/>
      <c r="S237" s="245" t="n"/>
      <c r="T237" s="245" t="n"/>
      <c r="U237" s="245" t="n"/>
      <c r="V237" s="245" t="n"/>
    </row>
    <row r="238">
      <c r="R238" s="242" t="n"/>
      <c r="S238" s="245" t="n"/>
      <c r="T238" s="245" t="n"/>
      <c r="U238" s="245" t="n"/>
      <c r="V238" s="245" t="n"/>
    </row>
    <row r="239">
      <c r="R239" s="242" t="n"/>
      <c r="S239" s="245" t="n"/>
      <c r="T239" s="245" t="n"/>
      <c r="U239" s="245" t="n"/>
      <c r="V239" s="245" t="n"/>
    </row>
    <row r="240">
      <c r="R240" s="242" t="n"/>
      <c r="S240" s="245" t="n"/>
      <c r="T240" s="245" t="n"/>
      <c r="U240" s="245" t="n"/>
      <c r="V240" s="245" t="n"/>
    </row>
    <row r="241">
      <c r="R241" s="242" t="n"/>
      <c r="S241" s="245" t="n"/>
      <c r="T241" s="245" t="n"/>
      <c r="U241" s="245" t="n"/>
      <c r="V241" s="245" t="n"/>
    </row>
    <row r="242">
      <c r="R242" s="242" t="n"/>
      <c r="S242" s="245" t="n"/>
      <c r="T242" s="245" t="n"/>
      <c r="U242" s="245" t="n"/>
      <c r="V242" s="245" t="n"/>
    </row>
    <row r="243">
      <c r="R243" s="242" t="n"/>
      <c r="S243" s="245" t="n"/>
      <c r="T243" s="245" t="n"/>
      <c r="U243" s="245" t="n"/>
      <c r="V243" s="245" t="n"/>
    </row>
    <row r="244">
      <c r="R244" s="242" t="n"/>
      <c r="S244" s="245" t="n"/>
      <c r="T244" s="245" t="n"/>
      <c r="U244" s="245" t="n"/>
      <c r="V244" s="245" t="n"/>
    </row>
    <row r="245">
      <c r="R245" s="242" t="n"/>
      <c r="S245" s="245" t="n"/>
      <c r="T245" s="245" t="n"/>
      <c r="U245" s="245" t="n"/>
      <c r="V245" s="245" t="n"/>
    </row>
    <row r="246">
      <c r="R246" s="242" t="n"/>
      <c r="S246" s="245" t="n"/>
      <c r="T246" s="245" t="n"/>
      <c r="U246" s="245" t="n"/>
      <c r="V246" s="245" t="n"/>
    </row>
    <row r="247">
      <c r="R247" s="242" t="n"/>
    </row>
    <row r="248">
      <c r="R248" s="242" t="n"/>
    </row>
    <row r="249">
      <c r="R249" s="242" t="n"/>
    </row>
    <row r="250">
      <c r="R250" s="242" t="n"/>
    </row>
    <row r="251">
      <c r="R251" s="242" t="n"/>
    </row>
    <row r="252">
      <c r="R252" s="242" t="n"/>
    </row>
    <row r="253">
      <c r="R253" s="242" t="n"/>
    </row>
    <row r="254">
      <c r="R254" s="242" t="n"/>
    </row>
    <row r="255">
      <c r="R255" s="242" t="n"/>
    </row>
    <row r="256">
      <c r="R256" s="242" t="n"/>
    </row>
    <row r="257">
      <c r="R257" s="242" t="n"/>
    </row>
    <row r="258">
      <c r="R258" s="242" t="n"/>
    </row>
    <row r="259">
      <c r="R259" s="242" t="n"/>
    </row>
    <row r="260">
      <c r="R260" s="242" t="n"/>
    </row>
    <row r="261">
      <c r="R261" s="242" t="n"/>
    </row>
    <row r="262">
      <c r="R262" s="242" t="n"/>
    </row>
    <row r="263">
      <c r="R263" s="242" t="n"/>
    </row>
    <row r="264">
      <c r="R264" s="242" t="n"/>
    </row>
    <row r="265">
      <c r="R265" s="242" t="n"/>
    </row>
    <row r="266">
      <c r="R266" s="242" t="n"/>
    </row>
    <row r="267">
      <c r="R267" s="242" t="n"/>
    </row>
    <row r="268">
      <c r="R268" s="242" t="n"/>
    </row>
    <row r="269">
      <c r="R269" s="242" t="n"/>
    </row>
    <row r="270">
      <c r="R270" s="242" t="n"/>
    </row>
    <row r="271">
      <c r="R271" s="242" t="n"/>
    </row>
    <row r="272">
      <c r="R272" s="242" t="n"/>
    </row>
  </sheetData>
  <sheetProtection selectLockedCells="0" selectUnlockedCells="0" sheet="1" objects="1" insertRows="1" insertHyperlinks="1" autoFilter="1" scenarios="1" formatColumns="1" deleteColumns="1" insertColumns="1" pivotTables="1" deleteRows="1" formatCells="1" formatRows="1" sort="1"/>
  <mergeCells count="17">
    <mergeCell ref="A9:B9"/>
    <mergeCell ref="A1:Q3"/>
    <mergeCell ref="B5:D5"/>
    <mergeCell ref="C9:Q9"/>
    <mergeCell ref="K5:K7"/>
    <mergeCell ref="L5:L7"/>
    <mergeCell ref="A10:B13"/>
    <mergeCell ref="J12:J13"/>
    <mergeCell ref="A14:B18"/>
    <mergeCell ref="E11:I12"/>
    <mergeCell ref="C15:Q16"/>
    <mergeCell ref="I17:J17"/>
    <mergeCell ref="B23:C23"/>
    <mergeCell ref="E47:I47"/>
    <mergeCell ref="E22:I22"/>
    <mergeCell ref="A25:Q25"/>
    <mergeCell ref="B22:C22"/>
  </mergeCells>
  <conditionalFormatting sqref="E22">
    <cfRule type="cellIs" priority="30" operator="equal" dxfId="15">
      <formula>"夏・冬季休暇が併存しています勤務表の備考を確認してください"</formula>
    </cfRule>
    <cfRule type="cellIs" priority="25" operator="equal" dxfId="6">
      <formula>"Null"</formula>
    </cfRule>
    <cfRule type="cellIs" priority="26" operator="equal" dxfId="6">
      <formula>"夏・冬季休暇が混在しています勤務表の備考を確認してください"</formula>
    </cfRule>
  </conditionalFormatting>
  <conditionalFormatting sqref="G30:G40">
    <cfRule type="containsBlanks" priority="28" dxfId="14">
      <formula>LEN(TRIM(G30))=0</formula>
    </cfRule>
  </conditionalFormatting>
  <conditionalFormatting sqref="C46:C82">
    <cfRule type="notContainsBlanks" priority="31" dxfId="10">
      <formula>LEN(TRIM(C46))&gt;0</formula>
    </cfRule>
  </conditionalFormatting>
  <conditionalFormatting sqref="D26:D45">
    <cfRule type="expression" priority="21" dxfId="10">
      <formula>AND($C26&lt;&gt;"",$D26=0,$C26&lt;&gt;"B")</formula>
    </cfRule>
  </conditionalFormatting>
  <conditionalFormatting sqref="C26:C70 I26:I70">
    <cfRule type="cellIs" priority="16" operator="equal" dxfId="8">
      <formula>"B"</formula>
    </cfRule>
  </conditionalFormatting>
  <conditionalFormatting sqref="I26:I27">
    <cfRule type="cellIs" priority="5" operator="equal" dxfId="8">
      <formula>"B"</formula>
    </cfRule>
  </conditionalFormatting>
  <conditionalFormatting sqref="A1:Q3">
    <cfRule type="expression" priority="4" dxfId="2">
      <formula>IF($A$1="休暇申請書","TRUE","FALSE")="FALSE"</formula>
    </cfRule>
  </conditionalFormatting>
  <conditionalFormatting sqref="J26:J45">
    <cfRule type="expression" priority="2" dxfId="6">
      <formula>AND($J26&lt;&gt;"",$J26=0,$I26&lt;&gt;"B")</formula>
    </cfRule>
  </conditionalFormatting>
  <pageMargins left="0.2362204724409449" right="0.2362204724409449" top="0.7480314960629921" bottom="0.7480314960629921" header="0.3149606299212598" footer="0.3149606299212598"/>
  <pageSetup orientation="portrait" paperSize="9" scale="64" firstPageNumber="0" blackAndWhite="1" horizontalDpi="300" verticalDpi="300"/>
  <legacyDrawing r:id="anysvml"/>
</worksheet>
</file>

<file path=xl/worksheets/sheet5.xml><?xml version="1.0" encoding="utf-8"?>
<worksheet xmlns="http://schemas.openxmlformats.org/spreadsheetml/2006/main">
  <sheetPr codeName="Sheet7">
    <outlinePr summaryBelow="1" summaryRight="1"/>
    <pageSetUpPr fitToPage="1"/>
  </sheetPr>
  <dimension ref="A1:W40"/>
  <sheetViews>
    <sheetView view="pageBreakPreview" zoomScale="90" zoomScaleSheetLayoutView="90" workbookViewId="0">
      <selection activeCell="C18" sqref="C18:S18"/>
    </sheetView>
  </sheetViews>
  <sheetFormatPr baseColWidth="8" defaultRowHeight="13.5"/>
  <cols>
    <col width="2.25" customWidth="1" style="99" min="1" max="1"/>
    <col width="11.75" customWidth="1" style="99" min="2" max="3"/>
    <col width="10.5" customWidth="1" style="99" min="4" max="4"/>
    <col width="4.5" customWidth="1" style="99" min="5" max="5"/>
    <col width="3" customWidth="1" style="99" min="6" max="6"/>
    <col width="4.5" customWidth="1" style="99" min="7" max="7"/>
    <col width="3.25" customWidth="1" style="99" min="8" max="8"/>
    <col width="2.375" customWidth="1" style="99" min="9" max="9"/>
    <col width="4.125" customWidth="1" style="99" min="10" max="10"/>
    <col width="10.5" bestFit="1" customWidth="1" style="99" min="11" max="11"/>
    <col width="4.75" customWidth="1" style="99" min="12" max="12"/>
    <col width="4" customWidth="1" style="99" min="13" max="15"/>
    <col width="3.375" customWidth="1" style="99" min="16" max="16"/>
    <col width="3.625" customWidth="1" style="99" min="17" max="17"/>
    <col width="3.875" customWidth="1" style="99" min="18" max="18"/>
    <col width="10.875" customWidth="1" style="99" min="19" max="19"/>
    <col width="9" customWidth="1" style="99" min="20" max="256"/>
    <col width="2.25" customWidth="1" style="99" min="257" max="257"/>
    <col width="11.75" customWidth="1" style="99" min="258" max="259"/>
    <col width="10.5" customWidth="1" style="99" min="260" max="260"/>
    <col width="4.5" customWidth="1" style="99" min="261" max="261"/>
    <col width="3" customWidth="1" style="99" min="262" max="262"/>
    <col width="4.5" customWidth="1" style="99" min="263" max="263"/>
    <col width="3.25" customWidth="1" style="99" min="264" max="264"/>
    <col width="2.375" customWidth="1" style="99" min="265" max="265"/>
    <col width="4.125" customWidth="1" style="99" min="266" max="266"/>
    <col width="9" customWidth="1" style="99" min="267" max="267"/>
    <col width="4.75" customWidth="1" style="99" min="268" max="268"/>
    <col width="4" customWidth="1" style="99" min="269" max="271"/>
    <col width="3.375" customWidth="1" style="99" min="272" max="272"/>
    <col width="3.625" customWidth="1" style="99" min="273" max="273"/>
    <col width="3.875" customWidth="1" style="99" min="274" max="274"/>
    <col width="10.875" customWidth="1" style="99" min="275" max="275"/>
    <col width="9" customWidth="1" style="99" min="276" max="512"/>
    <col width="2.25" customWidth="1" style="99" min="513" max="513"/>
    <col width="11.75" customWidth="1" style="99" min="514" max="515"/>
    <col width="10.5" customWidth="1" style="99" min="516" max="516"/>
    <col width="4.5" customWidth="1" style="99" min="517" max="517"/>
    <col width="3" customWidth="1" style="99" min="518" max="518"/>
    <col width="4.5" customWidth="1" style="99" min="519" max="519"/>
    <col width="3.25" customWidth="1" style="99" min="520" max="520"/>
    <col width="2.375" customWidth="1" style="99" min="521" max="521"/>
    <col width="4.125" customWidth="1" style="99" min="522" max="522"/>
    <col width="9" customWidth="1" style="99" min="523" max="523"/>
    <col width="4.75" customWidth="1" style="99" min="524" max="524"/>
    <col width="4" customWidth="1" style="99" min="525" max="527"/>
    <col width="3.375" customWidth="1" style="99" min="528" max="528"/>
    <col width="3.625" customWidth="1" style="99" min="529" max="529"/>
    <col width="3.875" customWidth="1" style="99" min="530" max="530"/>
    <col width="10.875" customWidth="1" style="99" min="531" max="531"/>
    <col width="9" customWidth="1" style="99" min="532" max="768"/>
    <col width="2.25" customWidth="1" style="99" min="769" max="769"/>
    <col width="11.75" customWidth="1" style="99" min="770" max="771"/>
    <col width="10.5" customWidth="1" style="99" min="772" max="772"/>
    <col width="4.5" customWidth="1" style="99" min="773" max="773"/>
    <col width="3" customWidth="1" style="99" min="774" max="774"/>
    <col width="4.5" customWidth="1" style="99" min="775" max="775"/>
    <col width="3.25" customWidth="1" style="99" min="776" max="776"/>
    <col width="2.375" customWidth="1" style="99" min="777" max="777"/>
    <col width="4.125" customWidth="1" style="99" min="778" max="778"/>
    <col width="9" customWidth="1" style="99" min="779" max="779"/>
    <col width="4.75" customWidth="1" style="99" min="780" max="780"/>
    <col width="4" customWidth="1" style="99" min="781" max="783"/>
    <col width="3.375" customWidth="1" style="99" min="784" max="784"/>
    <col width="3.625" customWidth="1" style="99" min="785" max="785"/>
    <col width="3.875" customWidth="1" style="99" min="786" max="786"/>
    <col width="10.875" customWidth="1" style="99" min="787" max="787"/>
    <col width="9" customWidth="1" style="99" min="788" max="1024"/>
    <col width="2.25" customWidth="1" style="99" min="1025" max="1025"/>
    <col width="11.75" customWidth="1" style="99" min="1026" max="1027"/>
    <col width="10.5" customWidth="1" style="99" min="1028" max="1028"/>
    <col width="4.5" customWidth="1" style="99" min="1029" max="1029"/>
    <col width="3" customWidth="1" style="99" min="1030" max="1030"/>
    <col width="4.5" customWidth="1" style="99" min="1031" max="1031"/>
    <col width="3.25" customWidth="1" style="99" min="1032" max="1032"/>
    <col width="2.375" customWidth="1" style="99" min="1033" max="1033"/>
    <col width="4.125" customWidth="1" style="99" min="1034" max="1034"/>
    <col width="9" customWidth="1" style="99" min="1035" max="1035"/>
    <col width="4.75" customWidth="1" style="99" min="1036" max="1036"/>
    <col width="4" customWidth="1" style="99" min="1037" max="1039"/>
    <col width="3.375" customWidth="1" style="99" min="1040" max="1040"/>
    <col width="3.625" customWidth="1" style="99" min="1041" max="1041"/>
    <col width="3.875" customWidth="1" style="99" min="1042" max="1042"/>
    <col width="10.875" customWidth="1" style="99" min="1043" max="1043"/>
    <col width="9" customWidth="1" style="99" min="1044" max="1280"/>
    <col width="2.25" customWidth="1" style="99" min="1281" max="1281"/>
    <col width="11.75" customWidth="1" style="99" min="1282" max="1283"/>
    <col width="10.5" customWidth="1" style="99" min="1284" max="1284"/>
    <col width="4.5" customWidth="1" style="99" min="1285" max="1285"/>
    <col width="3" customWidth="1" style="99" min="1286" max="1286"/>
    <col width="4.5" customWidth="1" style="99" min="1287" max="1287"/>
    <col width="3.25" customWidth="1" style="99" min="1288" max="1288"/>
    <col width="2.375" customWidth="1" style="99" min="1289" max="1289"/>
    <col width="4.125" customWidth="1" style="99" min="1290" max="1290"/>
    <col width="9" customWidth="1" style="99" min="1291" max="1291"/>
    <col width="4.75" customWidth="1" style="99" min="1292" max="1292"/>
    <col width="4" customWidth="1" style="99" min="1293" max="1295"/>
    <col width="3.375" customWidth="1" style="99" min="1296" max="1296"/>
    <col width="3.625" customWidth="1" style="99" min="1297" max="1297"/>
    <col width="3.875" customWidth="1" style="99" min="1298" max="1298"/>
    <col width="10.875" customWidth="1" style="99" min="1299" max="1299"/>
    <col width="9" customWidth="1" style="99" min="1300" max="1536"/>
    <col width="2.25" customWidth="1" style="99" min="1537" max="1537"/>
    <col width="11.75" customWidth="1" style="99" min="1538" max="1539"/>
    <col width="10.5" customWidth="1" style="99" min="1540" max="1540"/>
    <col width="4.5" customWidth="1" style="99" min="1541" max="1541"/>
    <col width="3" customWidth="1" style="99" min="1542" max="1542"/>
    <col width="4.5" customWidth="1" style="99" min="1543" max="1543"/>
    <col width="3.25" customWidth="1" style="99" min="1544" max="1544"/>
    <col width="2.375" customWidth="1" style="99" min="1545" max="1545"/>
    <col width="4.125" customWidth="1" style="99" min="1546" max="1546"/>
    <col width="9" customWidth="1" style="99" min="1547" max="1547"/>
    <col width="4.75" customWidth="1" style="99" min="1548" max="1548"/>
    <col width="4" customWidth="1" style="99" min="1549" max="1551"/>
    <col width="3.375" customWidth="1" style="99" min="1552" max="1552"/>
    <col width="3.625" customWidth="1" style="99" min="1553" max="1553"/>
    <col width="3.875" customWidth="1" style="99" min="1554" max="1554"/>
    <col width="10.875" customWidth="1" style="99" min="1555" max="1555"/>
    <col width="9" customWidth="1" style="99" min="1556" max="1792"/>
    <col width="2.25" customWidth="1" style="99" min="1793" max="1793"/>
    <col width="11.75" customWidth="1" style="99" min="1794" max="1795"/>
    <col width="10.5" customWidth="1" style="99" min="1796" max="1796"/>
    <col width="4.5" customWidth="1" style="99" min="1797" max="1797"/>
    <col width="3" customWidth="1" style="99" min="1798" max="1798"/>
    <col width="4.5" customWidth="1" style="99" min="1799" max="1799"/>
    <col width="3.25" customWidth="1" style="99" min="1800" max="1800"/>
    <col width="2.375" customWidth="1" style="99" min="1801" max="1801"/>
    <col width="4.125" customWidth="1" style="99" min="1802" max="1802"/>
    <col width="9" customWidth="1" style="99" min="1803" max="1803"/>
    <col width="4.75" customWidth="1" style="99" min="1804" max="1804"/>
    <col width="4" customWidth="1" style="99" min="1805" max="1807"/>
    <col width="3.375" customWidth="1" style="99" min="1808" max="1808"/>
    <col width="3.625" customWidth="1" style="99" min="1809" max="1809"/>
    <col width="3.875" customWidth="1" style="99" min="1810" max="1810"/>
    <col width="10.875" customWidth="1" style="99" min="1811" max="1811"/>
    <col width="9" customWidth="1" style="99" min="1812" max="2048"/>
    <col width="2.25" customWidth="1" style="99" min="2049" max="2049"/>
    <col width="11.75" customWidth="1" style="99" min="2050" max="2051"/>
    <col width="10.5" customWidth="1" style="99" min="2052" max="2052"/>
    <col width="4.5" customWidth="1" style="99" min="2053" max="2053"/>
    <col width="3" customWidth="1" style="99" min="2054" max="2054"/>
    <col width="4.5" customWidth="1" style="99" min="2055" max="2055"/>
    <col width="3.25" customWidth="1" style="99" min="2056" max="2056"/>
    <col width="2.375" customWidth="1" style="99" min="2057" max="2057"/>
    <col width="4.125" customWidth="1" style="99" min="2058" max="2058"/>
    <col width="9" customWidth="1" style="99" min="2059" max="2059"/>
    <col width="4.75" customWidth="1" style="99" min="2060" max="2060"/>
    <col width="4" customWidth="1" style="99" min="2061" max="2063"/>
    <col width="3.375" customWidth="1" style="99" min="2064" max="2064"/>
    <col width="3.625" customWidth="1" style="99" min="2065" max="2065"/>
    <col width="3.875" customWidth="1" style="99" min="2066" max="2066"/>
    <col width="10.875" customWidth="1" style="99" min="2067" max="2067"/>
    <col width="9" customWidth="1" style="99" min="2068" max="2304"/>
    <col width="2.25" customWidth="1" style="99" min="2305" max="2305"/>
    <col width="11.75" customWidth="1" style="99" min="2306" max="2307"/>
    <col width="10.5" customWidth="1" style="99" min="2308" max="2308"/>
    <col width="4.5" customWidth="1" style="99" min="2309" max="2309"/>
    <col width="3" customWidth="1" style="99" min="2310" max="2310"/>
    <col width="4.5" customWidth="1" style="99" min="2311" max="2311"/>
    <col width="3.25" customWidth="1" style="99" min="2312" max="2312"/>
    <col width="2.375" customWidth="1" style="99" min="2313" max="2313"/>
    <col width="4.125" customWidth="1" style="99" min="2314" max="2314"/>
    <col width="9" customWidth="1" style="99" min="2315" max="2315"/>
    <col width="4.75" customWidth="1" style="99" min="2316" max="2316"/>
    <col width="4" customWidth="1" style="99" min="2317" max="2319"/>
    <col width="3.375" customWidth="1" style="99" min="2320" max="2320"/>
    <col width="3.625" customWidth="1" style="99" min="2321" max="2321"/>
    <col width="3.875" customWidth="1" style="99" min="2322" max="2322"/>
    <col width="10.875" customWidth="1" style="99" min="2323" max="2323"/>
    <col width="9" customWidth="1" style="99" min="2324" max="2560"/>
    <col width="2.25" customWidth="1" style="99" min="2561" max="2561"/>
    <col width="11.75" customWidth="1" style="99" min="2562" max="2563"/>
    <col width="10.5" customWidth="1" style="99" min="2564" max="2564"/>
    <col width="4.5" customWidth="1" style="99" min="2565" max="2565"/>
    <col width="3" customWidth="1" style="99" min="2566" max="2566"/>
    <col width="4.5" customWidth="1" style="99" min="2567" max="2567"/>
    <col width="3.25" customWidth="1" style="99" min="2568" max="2568"/>
    <col width="2.375" customWidth="1" style="99" min="2569" max="2569"/>
    <col width="4.125" customWidth="1" style="99" min="2570" max="2570"/>
    <col width="9" customWidth="1" style="99" min="2571" max="2571"/>
    <col width="4.75" customWidth="1" style="99" min="2572" max="2572"/>
    <col width="4" customWidth="1" style="99" min="2573" max="2575"/>
    <col width="3.375" customWidth="1" style="99" min="2576" max="2576"/>
    <col width="3.625" customWidth="1" style="99" min="2577" max="2577"/>
    <col width="3.875" customWidth="1" style="99" min="2578" max="2578"/>
    <col width="10.875" customWidth="1" style="99" min="2579" max="2579"/>
    <col width="9" customWidth="1" style="99" min="2580" max="2816"/>
    <col width="2.25" customWidth="1" style="99" min="2817" max="2817"/>
    <col width="11.75" customWidth="1" style="99" min="2818" max="2819"/>
    <col width="10.5" customWidth="1" style="99" min="2820" max="2820"/>
    <col width="4.5" customWidth="1" style="99" min="2821" max="2821"/>
    <col width="3" customWidth="1" style="99" min="2822" max="2822"/>
    <col width="4.5" customWidth="1" style="99" min="2823" max="2823"/>
    <col width="3.25" customWidth="1" style="99" min="2824" max="2824"/>
    <col width="2.375" customWidth="1" style="99" min="2825" max="2825"/>
    <col width="4.125" customWidth="1" style="99" min="2826" max="2826"/>
    <col width="9" customWidth="1" style="99" min="2827" max="2827"/>
    <col width="4.75" customWidth="1" style="99" min="2828" max="2828"/>
    <col width="4" customWidth="1" style="99" min="2829" max="2831"/>
    <col width="3.375" customWidth="1" style="99" min="2832" max="2832"/>
    <col width="3.625" customWidth="1" style="99" min="2833" max="2833"/>
    <col width="3.875" customWidth="1" style="99" min="2834" max="2834"/>
    <col width="10.875" customWidth="1" style="99" min="2835" max="2835"/>
    <col width="9" customWidth="1" style="99" min="2836" max="3072"/>
    <col width="2.25" customWidth="1" style="99" min="3073" max="3073"/>
    <col width="11.75" customWidth="1" style="99" min="3074" max="3075"/>
    <col width="10.5" customWidth="1" style="99" min="3076" max="3076"/>
    <col width="4.5" customWidth="1" style="99" min="3077" max="3077"/>
    <col width="3" customWidth="1" style="99" min="3078" max="3078"/>
    <col width="4.5" customWidth="1" style="99" min="3079" max="3079"/>
    <col width="3.25" customWidth="1" style="99" min="3080" max="3080"/>
    <col width="2.375" customWidth="1" style="99" min="3081" max="3081"/>
    <col width="4.125" customWidth="1" style="99" min="3082" max="3082"/>
    <col width="9" customWidth="1" style="99" min="3083" max="3083"/>
    <col width="4.75" customWidth="1" style="99" min="3084" max="3084"/>
    <col width="4" customWidth="1" style="99" min="3085" max="3087"/>
    <col width="3.375" customWidth="1" style="99" min="3088" max="3088"/>
    <col width="3.625" customWidth="1" style="99" min="3089" max="3089"/>
    <col width="3.875" customWidth="1" style="99" min="3090" max="3090"/>
    <col width="10.875" customWidth="1" style="99" min="3091" max="3091"/>
    <col width="9" customWidth="1" style="99" min="3092" max="3328"/>
    <col width="2.25" customWidth="1" style="99" min="3329" max="3329"/>
    <col width="11.75" customWidth="1" style="99" min="3330" max="3331"/>
    <col width="10.5" customWidth="1" style="99" min="3332" max="3332"/>
    <col width="4.5" customWidth="1" style="99" min="3333" max="3333"/>
    <col width="3" customWidth="1" style="99" min="3334" max="3334"/>
    <col width="4.5" customWidth="1" style="99" min="3335" max="3335"/>
    <col width="3.25" customWidth="1" style="99" min="3336" max="3336"/>
    <col width="2.375" customWidth="1" style="99" min="3337" max="3337"/>
    <col width="4.125" customWidth="1" style="99" min="3338" max="3338"/>
    <col width="9" customWidth="1" style="99" min="3339" max="3339"/>
    <col width="4.75" customWidth="1" style="99" min="3340" max="3340"/>
    <col width="4" customWidth="1" style="99" min="3341" max="3343"/>
    <col width="3.375" customWidth="1" style="99" min="3344" max="3344"/>
    <col width="3.625" customWidth="1" style="99" min="3345" max="3345"/>
    <col width="3.875" customWidth="1" style="99" min="3346" max="3346"/>
    <col width="10.875" customWidth="1" style="99" min="3347" max="3347"/>
    <col width="9" customWidth="1" style="99" min="3348" max="3584"/>
    <col width="2.25" customWidth="1" style="99" min="3585" max="3585"/>
    <col width="11.75" customWidth="1" style="99" min="3586" max="3587"/>
    <col width="10.5" customWidth="1" style="99" min="3588" max="3588"/>
    <col width="4.5" customWidth="1" style="99" min="3589" max="3589"/>
    <col width="3" customWidth="1" style="99" min="3590" max="3590"/>
    <col width="4.5" customWidth="1" style="99" min="3591" max="3591"/>
    <col width="3.25" customWidth="1" style="99" min="3592" max="3592"/>
    <col width="2.375" customWidth="1" style="99" min="3593" max="3593"/>
    <col width="4.125" customWidth="1" style="99" min="3594" max="3594"/>
    <col width="9" customWidth="1" style="99" min="3595" max="3595"/>
    <col width="4.75" customWidth="1" style="99" min="3596" max="3596"/>
    <col width="4" customWidth="1" style="99" min="3597" max="3599"/>
    <col width="3.375" customWidth="1" style="99" min="3600" max="3600"/>
    <col width="3.625" customWidth="1" style="99" min="3601" max="3601"/>
    <col width="3.875" customWidth="1" style="99" min="3602" max="3602"/>
    <col width="10.875" customWidth="1" style="99" min="3603" max="3603"/>
    <col width="9" customWidth="1" style="99" min="3604" max="3840"/>
    <col width="2.25" customWidth="1" style="99" min="3841" max="3841"/>
    <col width="11.75" customWidth="1" style="99" min="3842" max="3843"/>
    <col width="10.5" customWidth="1" style="99" min="3844" max="3844"/>
    <col width="4.5" customWidth="1" style="99" min="3845" max="3845"/>
    <col width="3" customWidth="1" style="99" min="3846" max="3846"/>
    <col width="4.5" customWidth="1" style="99" min="3847" max="3847"/>
    <col width="3.25" customWidth="1" style="99" min="3848" max="3848"/>
    <col width="2.375" customWidth="1" style="99" min="3849" max="3849"/>
    <col width="4.125" customWidth="1" style="99" min="3850" max="3850"/>
    <col width="9" customWidth="1" style="99" min="3851" max="3851"/>
    <col width="4.75" customWidth="1" style="99" min="3852" max="3852"/>
    <col width="4" customWidth="1" style="99" min="3853" max="3855"/>
    <col width="3.375" customWidth="1" style="99" min="3856" max="3856"/>
    <col width="3.625" customWidth="1" style="99" min="3857" max="3857"/>
    <col width="3.875" customWidth="1" style="99" min="3858" max="3858"/>
    <col width="10.875" customWidth="1" style="99" min="3859" max="3859"/>
    <col width="9" customWidth="1" style="99" min="3860" max="4096"/>
    <col width="2.25" customWidth="1" style="99" min="4097" max="4097"/>
    <col width="11.75" customWidth="1" style="99" min="4098" max="4099"/>
    <col width="10.5" customWidth="1" style="99" min="4100" max="4100"/>
    <col width="4.5" customWidth="1" style="99" min="4101" max="4101"/>
    <col width="3" customWidth="1" style="99" min="4102" max="4102"/>
    <col width="4.5" customWidth="1" style="99" min="4103" max="4103"/>
    <col width="3.25" customWidth="1" style="99" min="4104" max="4104"/>
    <col width="2.375" customWidth="1" style="99" min="4105" max="4105"/>
    <col width="4.125" customWidth="1" style="99" min="4106" max="4106"/>
    <col width="9" customWidth="1" style="99" min="4107" max="4107"/>
    <col width="4.75" customWidth="1" style="99" min="4108" max="4108"/>
    <col width="4" customWidth="1" style="99" min="4109" max="4111"/>
    <col width="3.375" customWidth="1" style="99" min="4112" max="4112"/>
    <col width="3.625" customWidth="1" style="99" min="4113" max="4113"/>
    <col width="3.875" customWidth="1" style="99" min="4114" max="4114"/>
    <col width="10.875" customWidth="1" style="99" min="4115" max="4115"/>
    <col width="9" customWidth="1" style="99" min="4116" max="4352"/>
    <col width="2.25" customWidth="1" style="99" min="4353" max="4353"/>
    <col width="11.75" customWidth="1" style="99" min="4354" max="4355"/>
    <col width="10.5" customWidth="1" style="99" min="4356" max="4356"/>
    <col width="4.5" customWidth="1" style="99" min="4357" max="4357"/>
    <col width="3" customWidth="1" style="99" min="4358" max="4358"/>
    <col width="4.5" customWidth="1" style="99" min="4359" max="4359"/>
    <col width="3.25" customWidth="1" style="99" min="4360" max="4360"/>
    <col width="2.375" customWidth="1" style="99" min="4361" max="4361"/>
    <col width="4.125" customWidth="1" style="99" min="4362" max="4362"/>
    <col width="9" customWidth="1" style="99" min="4363" max="4363"/>
    <col width="4.75" customWidth="1" style="99" min="4364" max="4364"/>
    <col width="4" customWidth="1" style="99" min="4365" max="4367"/>
    <col width="3.375" customWidth="1" style="99" min="4368" max="4368"/>
    <col width="3.625" customWidth="1" style="99" min="4369" max="4369"/>
    <col width="3.875" customWidth="1" style="99" min="4370" max="4370"/>
    <col width="10.875" customWidth="1" style="99" min="4371" max="4371"/>
    <col width="9" customWidth="1" style="99" min="4372" max="4608"/>
    <col width="2.25" customWidth="1" style="99" min="4609" max="4609"/>
    <col width="11.75" customWidth="1" style="99" min="4610" max="4611"/>
    <col width="10.5" customWidth="1" style="99" min="4612" max="4612"/>
    <col width="4.5" customWidth="1" style="99" min="4613" max="4613"/>
    <col width="3" customWidth="1" style="99" min="4614" max="4614"/>
    <col width="4.5" customWidth="1" style="99" min="4615" max="4615"/>
    <col width="3.25" customWidth="1" style="99" min="4616" max="4616"/>
    <col width="2.375" customWidth="1" style="99" min="4617" max="4617"/>
    <col width="4.125" customWidth="1" style="99" min="4618" max="4618"/>
    <col width="9" customWidth="1" style="99" min="4619" max="4619"/>
    <col width="4.75" customWidth="1" style="99" min="4620" max="4620"/>
    <col width="4" customWidth="1" style="99" min="4621" max="4623"/>
    <col width="3.375" customWidth="1" style="99" min="4624" max="4624"/>
    <col width="3.625" customWidth="1" style="99" min="4625" max="4625"/>
    <col width="3.875" customWidth="1" style="99" min="4626" max="4626"/>
    <col width="10.875" customWidth="1" style="99" min="4627" max="4627"/>
    <col width="9" customWidth="1" style="99" min="4628" max="4864"/>
    <col width="2.25" customWidth="1" style="99" min="4865" max="4865"/>
    <col width="11.75" customWidth="1" style="99" min="4866" max="4867"/>
    <col width="10.5" customWidth="1" style="99" min="4868" max="4868"/>
    <col width="4.5" customWidth="1" style="99" min="4869" max="4869"/>
    <col width="3" customWidth="1" style="99" min="4870" max="4870"/>
    <col width="4.5" customWidth="1" style="99" min="4871" max="4871"/>
    <col width="3.25" customWidth="1" style="99" min="4872" max="4872"/>
    <col width="2.375" customWidth="1" style="99" min="4873" max="4873"/>
    <col width="4.125" customWidth="1" style="99" min="4874" max="4874"/>
    <col width="9" customWidth="1" style="99" min="4875" max="4875"/>
    <col width="4.75" customWidth="1" style="99" min="4876" max="4876"/>
    <col width="4" customWidth="1" style="99" min="4877" max="4879"/>
    <col width="3.375" customWidth="1" style="99" min="4880" max="4880"/>
    <col width="3.625" customWidth="1" style="99" min="4881" max="4881"/>
    <col width="3.875" customWidth="1" style="99" min="4882" max="4882"/>
    <col width="10.875" customWidth="1" style="99" min="4883" max="4883"/>
    <col width="9" customWidth="1" style="99" min="4884" max="5120"/>
    <col width="2.25" customWidth="1" style="99" min="5121" max="5121"/>
    <col width="11.75" customWidth="1" style="99" min="5122" max="5123"/>
    <col width="10.5" customWidth="1" style="99" min="5124" max="5124"/>
    <col width="4.5" customWidth="1" style="99" min="5125" max="5125"/>
    <col width="3" customWidth="1" style="99" min="5126" max="5126"/>
    <col width="4.5" customWidth="1" style="99" min="5127" max="5127"/>
    <col width="3.25" customWidth="1" style="99" min="5128" max="5128"/>
    <col width="2.375" customWidth="1" style="99" min="5129" max="5129"/>
    <col width="4.125" customWidth="1" style="99" min="5130" max="5130"/>
    <col width="9" customWidth="1" style="99" min="5131" max="5131"/>
    <col width="4.75" customWidth="1" style="99" min="5132" max="5132"/>
    <col width="4" customWidth="1" style="99" min="5133" max="5135"/>
    <col width="3.375" customWidth="1" style="99" min="5136" max="5136"/>
    <col width="3.625" customWidth="1" style="99" min="5137" max="5137"/>
    <col width="3.875" customWidth="1" style="99" min="5138" max="5138"/>
    <col width="10.875" customWidth="1" style="99" min="5139" max="5139"/>
    <col width="9" customWidth="1" style="99" min="5140" max="5376"/>
    <col width="2.25" customWidth="1" style="99" min="5377" max="5377"/>
    <col width="11.75" customWidth="1" style="99" min="5378" max="5379"/>
    <col width="10.5" customWidth="1" style="99" min="5380" max="5380"/>
    <col width="4.5" customWidth="1" style="99" min="5381" max="5381"/>
    <col width="3" customWidth="1" style="99" min="5382" max="5382"/>
    <col width="4.5" customWidth="1" style="99" min="5383" max="5383"/>
    <col width="3.25" customWidth="1" style="99" min="5384" max="5384"/>
    <col width="2.375" customWidth="1" style="99" min="5385" max="5385"/>
    <col width="4.125" customWidth="1" style="99" min="5386" max="5386"/>
    <col width="9" customWidth="1" style="99" min="5387" max="5387"/>
    <col width="4.75" customWidth="1" style="99" min="5388" max="5388"/>
    <col width="4" customWidth="1" style="99" min="5389" max="5391"/>
    <col width="3.375" customWidth="1" style="99" min="5392" max="5392"/>
    <col width="3.625" customWidth="1" style="99" min="5393" max="5393"/>
    <col width="3.875" customWidth="1" style="99" min="5394" max="5394"/>
    <col width="10.875" customWidth="1" style="99" min="5395" max="5395"/>
    <col width="9" customWidth="1" style="99" min="5396" max="5632"/>
    <col width="2.25" customWidth="1" style="99" min="5633" max="5633"/>
    <col width="11.75" customWidth="1" style="99" min="5634" max="5635"/>
    <col width="10.5" customWidth="1" style="99" min="5636" max="5636"/>
    <col width="4.5" customWidth="1" style="99" min="5637" max="5637"/>
    <col width="3" customWidth="1" style="99" min="5638" max="5638"/>
    <col width="4.5" customWidth="1" style="99" min="5639" max="5639"/>
    <col width="3.25" customWidth="1" style="99" min="5640" max="5640"/>
    <col width="2.375" customWidth="1" style="99" min="5641" max="5641"/>
    <col width="4.125" customWidth="1" style="99" min="5642" max="5642"/>
    <col width="9" customWidth="1" style="99" min="5643" max="5643"/>
    <col width="4.75" customWidth="1" style="99" min="5644" max="5644"/>
    <col width="4" customWidth="1" style="99" min="5645" max="5647"/>
    <col width="3.375" customWidth="1" style="99" min="5648" max="5648"/>
    <col width="3.625" customWidth="1" style="99" min="5649" max="5649"/>
    <col width="3.875" customWidth="1" style="99" min="5650" max="5650"/>
    <col width="10.875" customWidth="1" style="99" min="5651" max="5651"/>
    <col width="9" customWidth="1" style="99" min="5652" max="5888"/>
    <col width="2.25" customWidth="1" style="99" min="5889" max="5889"/>
    <col width="11.75" customWidth="1" style="99" min="5890" max="5891"/>
    <col width="10.5" customWidth="1" style="99" min="5892" max="5892"/>
    <col width="4.5" customWidth="1" style="99" min="5893" max="5893"/>
    <col width="3" customWidth="1" style="99" min="5894" max="5894"/>
    <col width="4.5" customWidth="1" style="99" min="5895" max="5895"/>
    <col width="3.25" customWidth="1" style="99" min="5896" max="5896"/>
    <col width="2.375" customWidth="1" style="99" min="5897" max="5897"/>
    <col width="4.125" customWidth="1" style="99" min="5898" max="5898"/>
    <col width="9" customWidth="1" style="99" min="5899" max="5899"/>
    <col width="4.75" customWidth="1" style="99" min="5900" max="5900"/>
    <col width="4" customWidth="1" style="99" min="5901" max="5903"/>
    <col width="3.375" customWidth="1" style="99" min="5904" max="5904"/>
    <col width="3.625" customWidth="1" style="99" min="5905" max="5905"/>
    <col width="3.875" customWidth="1" style="99" min="5906" max="5906"/>
    <col width="10.875" customWidth="1" style="99" min="5907" max="5907"/>
    <col width="9" customWidth="1" style="99" min="5908" max="6144"/>
    <col width="2.25" customWidth="1" style="99" min="6145" max="6145"/>
    <col width="11.75" customWidth="1" style="99" min="6146" max="6147"/>
    <col width="10.5" customWidth="1" style="99" min="6148" max="6148"/>
    <col width="4.5" customWidth="1" style="99" min="6149" max="6149"/>
    <col width="3" customWidth="1" style="99" min="6150" max="6150"/>
    <col width="4.5" customWidth="1" style="99" min="6151" max="6151"/>
    <col width="3.25" customWidth="1" style="99" min="6152" max="6152"/>
    <col width="2.375" customWidth="1" style="99" min="6153" max="6153"/>
    <col width="4.125" customWidth="1" style="99" min="6154" max="6154"/>
    <col width="9" customWidth="1" style="99" min="6155" max="6155"/>
    <col width="4.75" customWidth="1" style="99" min="6156" max="6156"/>
    <col width="4" customWidth="1" style="99" min="6157" max="6159"/>
    <col width="3.375" customWidth="1" style="99" min="6160" max="6160"/>
    <col width="3.625" customWidth="1" style="99" min="6161" max="6161"/>
    <col width="3.875" customWidth="1" style="99" min="6162" max="6162"/>
    <col width="10.875" customWidth="1" style="99" min="6163" max="6163"/>
    <col width="9" customWidth="1" style="99" min="6164" max="6400"/>
    <col width="2.25" customWidth="1" style="99" min="6401" max="6401"/>
    <col width="11.75" customWidth="1" style="99" min="6402" max="6403"/>
    <col width="10.5" customWidth="1" style="99" min="6404" max="6404"/>
    <col width="4.5" customWidth="1" style="99" min="6405" max="6405"/>
    <col width="3" customWidth="1" style="99" min="6406" max="6406"/>
    <col width="4.5" customWidth="1" style="99" min="6407" max="6407"/>
    <col width="3.25" customWidth="1" style="99" min="6408" max="6408"/>
    <col width="2.375" customWidth="1" style="99" min="6409" max="6409"/>
    <col width="4.125" customWidth="1" style="99" min="6410" max="6410"/>
    <col width="9" customWidth="1" style="99" min="6411" max="6411"/>
    <col width="4.75" customWidth="1" style="99" min="6412" max="6412"/>
    <col width="4" customWidth="1" style="99" min="6413" max="6415"/>
    <col width="3.375" customWidth="1" style="99" min="6416" max="6416"/>
    <col width="3.625" customWidth="1" style="99" min="6417" max="6417"/>
    <col width="3.875" customWidth="1" style="99" min="6418" max="6418"/>
    <col width="10.875" customWidth="1" style="99" min="6419" max="6419"/>
    <col width="9" customWidth="1" style="99" min="6420" max="6656"/>
    <col width="2.25" customWidth="1" style="99" min="6657" max="6657"/>
    <col width="11.75" customWidth="1" style="99" min="6658" max="6659"/>
    <col width="10.5" customWidth="1" style="99" min="6660" max="6660"/>
    <col width="4.5" customWidth="1" style="99" min="6661" max="6661"/>
    <col width="3" customWidth="1" style="99" min="6662" max="6662"/>
    <col width="4.5" customWidth="1" style="99" min="6663" max="6663"/>
    <col width="3.25" customWidth="1" style="99" min="6664" max="6664"/>
    <col width="2.375" customWidth="1" style="99" min="6665" max="6665"/>
    <col width="4.125" customWidth="1" style="99" min="6666" max="6666"/>
    <col width="9" customWidth="1" style="99" min="6667" max="6667"/>
    <col width="4.75" customWidth="1" style="99" min="6668" max="6668"/>
    <col width="4" customWidth="1" style="99" min="6669" max="6671"/>
    <col width="3.375" customWidth="1" style="99" min="6672" max="6672"/>
    <col width="3.625" customWidth="1" style="99" min="6673" max="6673"/>
    <col width="3.875" customWidth="1" style="99" min="6674" max="6674"/>
    <col width="10.875" customWidth="1" style="99" min="6675" max="6675"/>
    <col width="9" customWidth="1" style="99" min="6676" max="6912"/>
    <col width="2.25" customWidth="1" style="99" min="6913" max="6913"/>
    <col width="11.75" customWidth="1" style="99" min="6914" max="6915"/>
    <col width="10.5" customWidth="1" style="99" min="6916" max="6916"/>
    <col width="4.5" customWidth="1" style="99" min="6917" max="6917"/>
    <col width="3" customWidth="1" style="99" min="6918" max="6918"/>
    <col width="4.5" customWidth="1" style="99" min="6919" max="6919"/>
    <col width="3.25" customWidth="1" style="99" min="6920" max="6920"/>
    <col width="2.375" customWidth="1" style="99" min="6921" max="6921"/>
    <col width="4.125" customWidth="1" style="99" min="6922" max="6922"/>
    <col width="9" customWidth="1" style="99" min="6923" max="6923"/>
    <col width="4.75" customWidth="1" style="99" min="6924" max="6924"/>
    <col width="4" customWidth="1" style="99" min="6925" max="6927"/>
    <col width="3.375" customWidth="1" style="99" min="6928" max="6928"/>
    <col width="3.625" customWidth="1" style="99" min="6929" max="6929"/>
    <col width="3.875" customWidth="1" style="99" min="6930" max="6930"/>
    <col width="10.875" customWidth="1" style="99" min="6931" max="6931"/>
    <col width="9" customWidth="1" style="99" min="6932" max="7168"/>
    <col width="2.25" customWidth="1" style="99" min="7169" max="7169"/>
    <col width="11.75" customWidth="1" style="99" min="7170" max="7171"/>
    <col width="10.5" customWidth="1" style="99" min="7172" max="7172"/>
    <col width="4.5" customWidth="1" style="99" min="7173" max="7173"/>
    <col width="3" customWidth="1" style="99" min="7174" max="7174"/>
    <col width="4.5" customWidth="1" style="99" min="7175" max="7175"/>
    <col width="3.25" customWidth="1" style="99" min="7176" max="7176"/>
    <col width="2.375" customWidth="1" style="99" min="7177" max="7177"/>
    <col width="4.125" customWidth="1" style="99" min="7178" max="7178"/>
    <col width="9" customWidth="1" style="99" min="7179" max="7179"/>
    <col width="4.75" customWidth="1" style="99" min="7180" max="7180"/>
    <col width="4" customWidth="1" style="99" min="7181" max="7183"/>
    <col width="3.375" customWidth="1" style="99" min="7184" max="7184"/>
    <col width="3.625" customWidth="1" style="99" min="7185" max="7185"/>
    <col width="3.875" customWidth="1" style="99" min="7186" max="7186"/>
    <col width="10.875" customWidth="1" style="99" min="7187" max="7187"/>
    <col width="9" customWidth="1" style="99" min="7188" max="7424"/>
    <col width="2.25" customWidth="1" style="99" min="7425" max="7425"/>
    <col width="11.75" customWidth="1" style="99" min="7426" max="7427"/>
    <col width="10.5" customWidth="1" style="99" min="7428" max="7428"/>
    <col width="4.5" customWidth="1" style="99" min="7429" max="7429"/>
    <col width="3" customWidth="1" style="99" min="7430" max="7430"/>
    <col width="4.5" customWidth="1" style="99" min="7431" max="7431"/>
    <col width="3.25" customWidth="1" style="99" min="7432" max="7432"/>
    <col width="2.375" customWidth="1" style="99" min="7433" max="7433"/>
    <col width="4.125" customWidth="1" style="99" min="7434" max="7434"/>
    <col width="9" customWidth="1" style="99" min="7435" max="7435"/>
    <col width="4.75" customWidth="1" style="99" min="7436" max="7436"/>
    <col width="4" customWidth="1" style="99" min="7437" max="7439"/>
    <col width="3.375" customWidth="1" style="99" min="7440" max="7440"/>
    <col width="3.625" customWidth="1" style="99" min="7441" max="7441"/>
    <col width="3.875" customWidth="1" style="99" min="7442" max="7442"/>
    <col width="10.875" customWidth="1" style="99" min="7443" max="7443"/>
    <col width="9" customWidth="1" style="99" min="7444" max="7680"/>
    <col width="2.25" customWidth="1" style="99" min="7681" max="7681"/>
    <col width="11.75" customWidth="1" style="99" min="7682" max="7683"/>
    <col width="10.5" customWidth="1" style="99" min="7684" max="7684"/>
    <col width="4.5" customWidth="1" style="99" min="7685" max="7685"/>
    <col width="3" customWidth="1" style="99" min="7686" max="7686"/>
    <col width="4.5" customWidth="1" style="99" min="7687" max="7687"/>
    <col width="3.25" customWidth="1" style="99" min="7688" max="7688"/>
    <col width="2.375" customWidth="1" style="99" min="7689" max="7689"/>
    <col width="4.125" customWidth="1" style="99" min="7690" max="7690"/>
    <col width="9" customWidth="1" style="99" min="7691" max="7691"/>
    <col width="4.75" customWidth="1" style="99" min="7692" max="7692"/>
    <col width="4" customWidth="1" style="99" min="7693" max="7695"/>
    <col width="3.375" customWidth="1" style="99" min="7696" max="7696"/>
    <col width="3.625" customWidth="1" style="99" min="7697" max="7697"/>
    <col width="3.875" customWidth="1" style="99" min="7698" max="7698"/>
    <col width="10.875" customWidth="1" style="99" min="7699" max="7699"/>
    <col width="9" customWidth="1" style="99" min="7700" max="7936"/>
    <col width="2.25" customWidth="1" style="99" min="7937" max="7937"/>
    <col width="11.75" customWidth="1" style="99" min="7938" max="7939"/>
    <col width="10.5" customWidth="1" style="99" min="7940" max="7940"/>
    <col width="4.5" customWidth="1" style="99" min="7941" max="7941"/>
    <col width="3" customWidth="1" style="99" min="7942" max="7942"/>
    <col width="4.5" customWidth="1" style="99" min="7943" max="7943"/>
    <col width="3.25" customWidth="1" style="99" min="7944" max="7944"/>
    <col width="2.375" customWidth="1" style="99" min="7945" max="7945"/>
    <col width="4.125" customWidth="1" style="99" min="7946" max="7946"/>
    <col width="9" customWidth="1" style="99" min="7947" max="7947"/>
    <col width="4.75" customWidth="1" style="99" min="7948" max="7948"/>
    <col width="4" customWidth="1" style="99" min="7949" max="7951"/>
    <col width="3.375" customWidth="1" style="99" min="7952" max="7952"/>
    <col width="3.625" customWidth="1" style="99" min="7953" max="7953"/>
    <col width="3.875" customWidth="1" style="99" min="7954" max="7954"/>
    <col width="10.875" customWidth="1" style="99" min="7955" max="7955"/>
    <col width="9" customWidth="1" style="99" min="7956" max="8192"/>
    <col width="2.25" customWidth="1" style="99" min="8193" max="8193"/>
    <col width="11.75" customWidth="1" style="99" min="8194" max="8195"/>
    <col width="10.5" customWidth="1" style="99" min="8196" max="8196"/>
    <col width="4.5" customWidth="1" style="99" min="8197" max="8197"/>
    <col width="3" customWidth="1" style="99" min="8198" max="8198"/>
    <col width="4.5" customWidth="1" style="99" min="8199" max="8199"/>
    <col width="3.25" customWidth="1" style="99" min="8200" max="8200"/>
    <col width="2.375" customWidth="1" style="99" min="8201" max="8201"/>
    <col width="4.125" customWidth="1" style="99" min="8202" max="8202"/>
    <col width="9" customWidth="1" style="99" min="8203" max="8203"/>
    <col width="4.75" customWidth="1" style="99" min="8204" max="8204"/>
    <col width="4" customWidth="1" style="99" min="8205" max="8207"/>
    <col width="3.375" customWidth="1" style="99" min="8208" max="8208"/>
    <col width="3.625" customWidth="1" style="99" min="8209" max="8209"/>
    <col width="3.875" customWidth="1" style="99" min="8210" max="8210"/>
    <col width="10.875" customWidth="1" style="99" min="8211" max="8211"/>
    <col width="9" customWidth="1" style="99" min="8212" max="8448"/>
    <col width="2.25" customWidth="1" style="99" min="8449" max="8449"/>
    <col width="11.75" customWidth="1" style="99" min="8450" max="8451"/>
    <col width="10.5" customWidth="1" style="99" min="8452" max="8452"/>
    <col width="4.5" customWidth="1" style="99" min="8453" max="8453"/>
    <col width="3" customWidth="1" style="99" min="8454" max="8454"/>
    <col width="4.5" customWidth="1" style="99" min="8455" max="8455"/>
    <col width="3.25" customWidth="1" style="99" min="8456" max="8456"/>
    <col width="2.375" customWidth="1" style="99" min="8457" max="8457"/>
    <col width="4.125" customWidth="1" style="99" min="8458" max="8458"/>
    <col width="9" customWidth="1" style="99" min="8459" max="8459"/>
    <col width="4.75" customWidth="1" style="99" min="8460" max="8460"/>
    <col width="4" customWidth="1" style="99" min="8461" max="8463"/>
    <col width="3.375" customWidth="1" style="99" min="8464" max="8464"/>
    <col width="3.625" customWidth="1" style="99" min="8465" max="8465"/>
    <col width="3.875" customWidth="1" style="99" min="8466" max="8466"/>
    <col width="10.875" customWidth="1" style="99" min="8467" max="8467"/>
    <col width="9" customWidth="1" style="99" min="8468" max="8704"/>
    <col width="2.25" customWidth="1" style="99" min="8705" max="8705"/>
    <col width="11.75" customWidth="1" style="99" min="8706" max="8707"/>
    <col width="10.5" customWidth="1" style="99" min="8708" max="8708"/>
    <col width="4.5" customWidth="1" style="99" min="8709" max="8709"/>
    <col width="3" customWidth="1" style="99" min="8710" max="8710"/>
    <col width="4.5" customWidth="1" style="99" min="8711" max="8711"/>
    <col width="3.25" customWidth="1" style="99" min="8712" max="8712"/>
    <col width="2.375" customWidth="1" style="99" min="8713" max="8713"/>
    <col width="4.125" customWidth="1" style="99" min="8714" max="8714"/>
    <col width="9" customWidth="1" style="99" min="8715" max="8715"/>
    <col width="4.75" customWidth="1" style="99" min="8716" max="8716"/>
    <col width="4" customWidth="1" style="99" min="8717" max="8719"/>
    <col width="3.375" customWidth="1" style="99" min="8720" max="8720"/>
    <col width="3.625" customWidth="1" style="99" min="8721" max="8721"/>
    <col width="3.875" customWidth="1" style="99" min="8722" max="8722"/>
    <col width="10.875" customWidth="1" style="99" min="8723" max="8723"/>
    <col width="9" customWidth="1" style="99" min="8724" max="8960"/>
    <col width="2.25" customWidth="1" style="99" min="8961" max="8961"/>
    <col width="11.75" customWidth="1" style="99" min="8962" max="8963"/>
    <col width="10.5" customWidth="1" style="99" min="8964" max="8964"/>
    <col width="4.5" customWidth="1" style="99" min="8965" max="8965"/>
    <col width="3" customWidth="1" style="99" min="8966" max="8966"/>
    <col width="4.5" customWidth="1" style="99" min="8967" max="8967"/>
    <col width="3.25" customWidth="1" style="99" min="8968" max="8968"/>
    <col width="2.375" customWidth="1" style="99" min="8969" max="8969"/>
    <col width="4.125" customWidth="1" style="99" min="8970" max="8970"/>
    <col width="9" customWidth="1" style="99" min="8971" max="8971"/>
    <col width="4.75" customWidth="1" style="99" min="8972" max="8972"/>
    <col width="4" customWidth="1" style="99" min="8973" max="8975"/>
    <col width="3.375" customWidth="1" style="99" min="8976" max="8976"/>
    <col width="3.625" customWidth="1" style="99" min="8977" max="8977"/>
    <col width="3.875" customWidth="1" style="99" min="8978" max="8978"/>
    <col width="10.875" customWidth="1" style="99" min="8979" max="8979"/>
    <col width="9" customWidth="1" style="99" min="8980" max="9216"/>
    <col width="2.25" customWidth="1" style="99" min="9217" max="9217"/>
    <col width="11.75" customWidth="1" style="99" min="9218" max="9219"/>
    <col width="10.5" customWidth="1" style="99" min="9220" max="9220"/>
    <col width="4.5" customWidth="1" style="99" min="9221" max="9221"/>
    <col width="3" customWidth="1" style="99" min="9222" max="9222"/>
    <col width="4.5" customWidth="1" style="99" min="9223" max="9223"/>
    <col width="3.25" customWidth="1" style="99" min="9224" max="9224"/>
    <col width="2.375" customWidth="1" style="99" min="9225" max="9225"/>
    <col width="4.125" customWidth="1" style="99" min="9226" max="9226"/>
    <col width="9" customWidth="1" style="99" min="9227" max="9227"/>
    <col width="4.75" customWidth="1" style="99" min="9228" max="9228"/>
    <col width="4" customWidth="1" style="99" min="9229" max="9231"/>
    <col width="3.375" customWidth="1" style="99" min="9232" max="9232"/>
    <col width="3.625" customWidth="1" style="99" min="9233" max="9233"/>
    <col width="3.875" customWidth="1" style="99" min="9234" max="9234"/>
    <col width="10.875" customWidth="1" style="99" min="9235" max="9235"/>
    <col width="9" customWidth="1" style="99" min="9236" max="9472"/>
    <col width="2.25" customWidth="1" style="99" min="9473" max="9473"/>
    <col width="11.75" customWidth="1" style="99" min="9474" max="9475"/>
    <col width="10.5" customWidth="1" style="99" min="9476" max="9476"/>
    <col width="4.5" customWidth="1" style="99" min="9477" max="9477"/>
    <col width="3" customWidth="1" style="99" min="9478" max="9478"/>
    <col width="4.5" customWidth="1" style="99" min="9479" max="9479"/>
    <col width="3.25" customWidth="1" style="99" min="9480" max="9480"/>
    <col width="2.375" customWidth="1" style="99" min="9481" max="9481"/>
    <col width="4.125" customWidth="1" style="99" min="9482" max="9482"/>
    <col width="9" customWidth="1" style="99" min="9483" max="9483"/>
    <col width="4.75" customWidth="1" style="99" min="9484" max="9484"/>
    <col width="4" customWidth="1" style="99" min="9485" max="9487"/>
    <col width="3.375" customWidth="1" style="99" min="9488" max="9488"/>
    <col width="3.625" customWidth="1" style="99" min="9489" max="9489"/>
    <col width="3.875" customWidth="1" style="99" min="9490" max="9490"/>
    <col width="10.875" customWidth="1" style="99" min="9491" max="9491"/>
    <col width="9" customWidth="1" style="99" min="9492" max="9728"/>
    <col width="2.25" customWidth="1" style="99" min="9729" max="9729"/>
    <col width="11.75" customWidth="1" style="99" min="9730" max="9731"/>
    <col width="10.5" customWidth="1" style="99" min="9732" max="9732"/>
    <col width="4.5" customWidth="1" style="99" min="9733" max="9733"/>
    <col width="3" customWidth="1" style="99" min="9734" max="9734"/>
    <col width="4.5" customWidth="1" style="99" min="9735" max="9735"/>
    <col width="3.25" customWidth="1" style="99" min="9736" max="9736"/>
    <col width="2.375" customWidth="1" style="99" min="9737" max="9737"/>
    <col width="4.125" customWidth="1" style="99" min="9738" max="9738"/>
    <col width="9" customWidth="1" style="99" min="9739" max="9739"/>
    <col width="4.75" customWidth="1" style="99" min="9740" max="9740"/>
    <col width="4" customWidth="1" style="99" min="9741" max="9743"/>
    <col width="3.375" customWidth="1" style="99" min="9744" max="9744"/>
    <col width="3.625" customWidth="1" style="99" min="9745" max="9745"/>
    <col width="3.875" customWidth="1" style="99" min="9746" max="9746"/>
    <col width="10.875" customWidth="1" style="99" min="9747" max="9747"/>
    <col width="9" customWidth="1" style="99" min="9748" max="9984"/>
    <col width="2.25" customWidth="1" style="99" min="9985" max="9985"/>
    <col width="11.75" customWidth="1" style="99" min="9986" max="9987"/>
    <col width="10.5" customWidth="1" style="99" min="9988" max="9988"/>
    <col width="4.5" customWidth="1" style="99" min="9989" max="9989"/>
    <col width="3" customWidth="1" style="99" min="9990" max="9990"/>
    <col width="4.5" customWidth="1" style="99" min="9991" max="9991"/>
    <col width="3.25" customWidth="1" style="99" min="9992" max="9992"/>
    <col width="2.375" customWidth="1" style="99" min="9993" max="9993"/>
    <col width="4.125" customWidth="1" style="99" min="9994" max="9994"/>
    <col width="9" customWidth="1" style="99" min="9995" max="9995"/>
    <col width="4.75" customWidth="1" style="99" min="9996" max="9996"/>
    <col width="4" customWidth="1" style="99" min="9997" max="9999"/>
    <col width="3.375" customWidth="1" style="99" min="10000" max="10000"/>
    <col width="3.625" customWidth="1" style="99" min="10001" max="10001"/>
    <col width="3.875" customWidth="1" style="99" min="10002" max="10002"/>
    <col width="10.875" customWidth="1" style="99" min="10003" max="10003"/>
    <col width="9" customWidth="1" style="99" min="10004" max="10240"/>
    <col width="2.25" customWidth="1" style="99" min="10241" max="10241"/>
    <col width="11.75" customWidth="1" style="99" min="10242" max="10243"/>
    <col width="10.5" customWidth="1" style="99" min="10244" max="10244"/>
    <col width="4.5" customWidth="1" style="99" min="10245" max="10245"/>
    <col width="3" customWidth="1" style="99" min="10246" max="10246"/>
    <col width="4.5" customWidth="1" style="99" min="10247" max="10247"/>
    <col width="3.25" customWidth="1" style="99" min="10248" max="10248"/>
    <col width="2.375" customWidth="1" style="99" min="10249" max="10249"/>
    <col width="4.125" customWidth="1" style="99" min="10250" max="10250"/>
    <col width="9" customWidth="1" style="99" min="10251" max="10251"/>
    <col width="4.75" customWidth="1" style="99" min="10252" max="10252"/>
    <col width="4" customWidth="1" style="99" min="10253" max="10255"/>
    <col width="3.375" customWidth="1" style="99" min="10256" max="10256"/>
    <col width="3.625" customWidth="1" style="99" min="10257" max="10257"/>
    <col width="3.875" customWidth="1" style="99" min="10258" max="10258"/>
    <col width="10.875" customWidth="1" style="99" min="10259" max="10259"/>
    <col width="9" customWidth="1" style="99" min="10260" max="10496"/>
    <col width="2.25" customWidth="1" style="99" min="10497" max="10497"/>
    <col width="11.75" customWidth="1" style="99" min="10498" max="10499"/>
    <col width="10.5" customWidth="1" style="99" min="10500" max="10500"/>
    <col width="4.5" customWidth="1" style="99" min="10501" max="10501"/>
    <col width="3" customWidth="1" style="99" min="10502" max="10502"/>
    <col width="4.5" customWidth="1" style="99" min="10503" max="10503"/>
    <col width="3.25" customWidth="1" style="99" min="10504" max="10504"/>
    <col width="2.375" customWidth="1" style="99" min="10505" max="10505"/>
    <col width="4.125" customWidth="1" style="99" min="10506" max="10506"/>
    <col width="9" customWidth="1" style="99" min="10507" max="10507"/>
    <col width="4.75" customWidth="1" style="99" min="10508" max="10508"/>
    <col width="4" customWidth="1" style="99" min="10509" max="10511"/>
    <col width="3.375" customWidth="1" style="99" min="10512" max="10512"/>
    <col width="3.625" customWidth="1" style="99" min="10513" max="10513"/>
    <col width="3.875" customWidth="1" style="99" min="10514" max="10514"/>
    <col width="10.875" customWidth="1" style="99" min="10515" max="10515"/>
    <col width="9" customWidth="1" style="99" min="10516" max="10752"/>
    <col width="2.25" customWidth="1" style="99" min="10753" max="10753"/>
    <col width="11.75" customWidth="1" style="99" min="10754" max="10755"/>
    <col width="10.5" customWidth="1" style="99" min="10756" max="10756"/>
    <col width="4.5" customWidth="1" style="99" min="10757" max="10757"/>
    <col width="3" customWidth="1" style="99" min="10758" max="10758"/>
    <col width="4.5" customWidth="1" style="99" min="10759" max="10759"/>
    <col width="3.25" customWidth="1" style="99" min="10760" max="10760"/>
    <col width="2.375" customWidth="1" style="99" min="10761" max="10761"/>
    <col width="4.125" customWidth="1" style="99" min="10762" max="10762"/>
    <col width="9" customWidth="1" style="99" min="10763" max="10763"/>
    <col width="4.75" customWidth="1" style="99" min="10764" max="10764"/>
    <col width="4" customWidth="1" style="99" min="10765" max="10767"/>
    <col width="3.375" customWidth="1" style="99" min="10768" max="10768"/>
    <col width="3.625" customWidth="1" style="99" min="10769" max="10769"/>
    <col width="3.875" customWidth="1" style="99" min="10770" max="10770"/>
    <col width="10.875" customWidth="1" style="99" min="10771" max="10771"/>
    <col width="9" customWidth="1" style="99" min="10772" max="11008"/>
    <col width="2.25" customWidth="1" style="99" min="11009" max="11009"/>
    <col width="11.75" customWidth="1" style="99" min="11010" max="11011"/>
    <col width="10.5" customWidth="1" style="99" min="11012" max="11012"/>
    <col width="4.5" customWidth="1" style="99" min="11013" max="11013"/>
    <col width="3" customWidth="1" style="99" min="11014" max="11014"/>
    <col width="4.5" customWidth="1" style="99" min="11015" max="11015"/>
    <col width="3.25" customWidth="1" style="99" min="11016" max="11016"/>
    <col width="2.375" customWidth="1" style="99" min="11017" max="11017"/>
    <col width="4.125" customWidth="1" style="99" min="11018" max="11018"/>
    <col width="9" customWidth="1" style="99" min="11019" max="11019"/>
    <col width="4.75" customWidth="1" style="99" min="11020" max="11020"/>
    <col width="4" customWidth="1" style="99" min="11021" max="11023"/>
    <col width="3.375" customWidth="1" style="99" min="11024" max="11024"/>
    <col width="3.625" customWidth="1" style="99" min="11025" max="11025"/>
    <col width="3.875" customWidth="1" style="99" min="11026" max="11026"/>
    <col width="10.875" customWidth="1" style="99" min="11027" max="11027"/>
    <col width="9" customWidth="1" style="99" min="11028" max="11264"/>
    <col width="2.25" customWidth="1" style="99" min="11265" max="11265"/>
    <col width="11.75" customWidth="1" style="99" min="11266" max="11267"/>
    <col width="10.5" customWidth="1" style="99" min="11268" max="11268"/>
    <col width="4.5" customWidth="1" style="99" min="11269" max="11269"/>
    <col width="3" customWidth="1" style="99" min="11270" max="11270"/>
    <col width="4.5" customWidth="1" style="99" min="11271" max="11271"/>
    <col width="3.25" customWidth="1" style="99" min="11272" max="11272"/>
    <col width="2.375" customWidth="1" style="99" min="11273" max="11273"/>
    <col width="4.125" customWidth="1" style="99" min="11274" max="11274"/>
    <col width="9" customWidth="1" style="99" min="11275" max="11275"/>
    <col width="4.75" customWidth="1" style="99" min="11276" max="11276"/>
    <col width="4" customWidth="1" style="99" min="11277" max="11279"/>
    <col width="3.375" customWidth="1" style="99" min="11280" max="11280"/>
    <col width="3.625" customWidth="1" style="99" min="11281" max="11281"/>
    <col width="3.875" customWidth="1" style="99" min="11282" max="11282"/>
    <col width="10.875" customWidth="1" style="99" min="11283" max="11283"/>
    <col width="9" customWidth="1" style="99" min="11284" max="11520"/>
    <col width="2.25" customWidth="1" style="99" min="11521" max="11521"/>
    <col width="11.75" customWidth="1" style="99" min="11522" max="11523"/>
    <col width="10.5" customWidth="1" style="99" min="11524" max="11524"/>
    <col width="4.5" customWidth="1" style="99" min="11525" max="11525"/>
    <col width="3" customWidth="1" style="99" min="11526" max="11526"/>
    <col width="4.5" customWidth="1" style="99" min="11527" max="11527"/>
    <col width="3.25" customWidth="1" style="99" min="11528" max="11528"/>
    <col width="2.375" customWidth="1" style="99" min="11529" max="11529"/>
    <col width="4.125" customWidth="1" style="99" min="11530" max="11530"/>
    <col width="9" customWidth="1" style="99" min="11531" max="11531"/>
    <col width="4.75" customWidth="1" style="99" min="11532" max="11532"/>
    <col width="4" customWidth="1" style="99" min="11533" max="11535"/>
    <col width="3.375" customWidth="1" style="99" min="11536" max="11536"/>
    <col width="3.625" customWidth="1" style="99" min="11537" max="11537"/>
    <col width="3.875" customWidth="1" style="99" min="11538" max="11538"/>
    <col width="10.875" customWidth="1" style="99" min="11539" max="11539"/>
    <col width="9" customWidth="1" style="99" min="11540" max="11776"/>
    <col width="2.25" customWidth="1" style="99" min="11777" max="11777"/>
    <col width="11.75" customWidth="1" style="99" min="11778" max="11779"/>
    <col width="10.5" customWidth="1" style="99" min="11780" max="11780"/>
    <col width="4.5" customWidth="1" style="99" min="11781" max="11781"/>
    <col width="3" customWidth="1" style="99" min="11782" max="11782"/>
    <col width="4.5" customWidth="1" style="99" min="11783" max="11783"/>
    <col width="3.25" customWidth="1" style="99" min="11784" max="11784"/>
    <col width="2.375" customWidth="1" style="99" min="11785" max="11785"/>
    <col width="4.125" customWidth="1" style="99" min="11786" max="11786"/>
    <col width="9" customWidth="1" style="99" min="11787" max="11787"/>
    <col width="4.75" customWidth="1" style="99" min="11788" max="11788"/>
    <col width="4" customWidth="1" style="99" min="11789" max="11791"/>
    <col width="3.375" customWidth="1" style="99" min="11792" max="11792"/>
    <col width="3.625" customWidth="1" style="99" min="11793" max="11793"/>
    <col width="3.875" customWidth="1" style="99" min="11794" max="11794"/>
    <col width="10.875" customWidth="1" style="99" min="11795" max="11795"/>
    <col width="9" customWidth="1" style="99" min="11796" max="12032"/>
    <col width="2.25" customWidth="1" style="99" min="12033" max="12033"/>
    <col width="11.75" customWidth="1" style="99" min="12034" max="12035"/>
    <col width="10.5" customWidth="1" style="99" min="12036" max="12036"/>
    <col width="4.5" customWidth="1" style="99" min="12037" max="12037"/>
    <col width="3" customWidth="1" style="99" min="12038" max="12038"/>
    <col width="4.5" customWidth="1" style="99" min="12039" max="12039"/>
    <col width="3.25" customWidth="1" style="99" min="12040" max="12040"/>
    <col width="2.375" customWidth="1" style="99" min="12041" max="12041"/>
    <col width="4.125" customWidth="1" style="99" min="12042" max="12042"/>
    <col width="9" customWidth="1" style="99" min="12043" max="12043"/>
    <col width="4.75" customWidth="1" style="99" min="12044" max="12044"/>
    <col width="4" customWidth="1" style="99" min="12045" max="12047"/>
    <col width="3.375" customWidth="1" style="99" min="12048" max="12048"/>
    <col width="3.625" customWidth="1" style="99" min="12049" max="12049"/>
    <col width="3.875" customWidth="1" style="99" min="12050" max="12050"/>
    <col width="10.875" customWidth="1" style="99" min="12051" max="12051"/>
    <col width="9" customWidth="1" style="99" min="12052" max="12288"/>
    <col width="2.25" customWidth="1" style="99" min="12289" max="12289"/>
    <col width="11.75" customWidth="1" style="99" min="12290" max="12291"/>
    <col width="10.5" customWidth="1" style="99" min="12292" max="12292"/>
    <col width="4.5" customWidth="1" style="99" min="12293" max="12293"/>
    <col width="3" customWidth="1" style="99" min="12294" max="12294"/>
    <col width="4.5" customWidth="1" style="99" min="12295" max="12295"/>
    <col width="3.25" customWidth="1" style="99" min="12296" max="12296"/>
    <col width="2.375" customWidth="1" style="99" min="12297" max="12297"/>
    <col width="4.125" customWidth="1" style="99" min="12298" max="12298"/>
    <col width="9" customWidth="1" style="99" min="12299" max="12299"/>
    <col width="4.75" customWidth="1" style="99" min="12300" max="12300"/>
    <col width="4" customWidth="1" style="99" min="12301" max="12303"/>
    <col width="3.375" customWidth="1" style="99" min="12304" max="12304"/>
    <col width="3.625" customWidth="1" style="99" min="12305" max="12305"/>
    <col width="3.875" customWidth="1" style="99" min="12306" max="12306"/>
    <col width="10.875" customWidth="1" style="99" min="12307" max="12307"/>
    <col width="9" customWidth="1" style="99" min="12308" max="12544"/>
    <col width="2.25" customWidth="1" style="99" min="12545" max="12545"/>
    <col width="11.75" customWidth="1" style="99" min="12546" max="12547"/>
    <col width="10.5" customWidth="1" style="99" min="12548" max="12548"/>
    <col width="4.5" customWidth="1" style="99" min="12549" max="12549"/>
    <col width="3" customWidth="1" style="99" min="12550" max="12550"/>
    <col width="4.5" customWidth="1" style="99" min="12551" max="12551"/>
    <col width="3.25" customWidth="1" style="99" min="12552" max="12552"/>
    <col width="2.375" customWidth="1" style="99" min="12553" max="12553"/>
    <col width="4.125" customWidth="1" style="99" min="12554" max="12554"/>
    <col width="9" customWidth="1" style="99" min="12555" max="12555"/>
    <col width="4.75" customWidth="1" style="99" min="12556" max="12556"/>
    <col width="4" customWidth="1" style="99" min="12557" max="12559"/>
    <col width="3.375" customWidth="1" style="99" min="12560" max="12560"/>
    <col width="3.625" customWidth="1" style="99" min="12561" max="12561"/>
    <col width="3.875" customWidth="1" style="99" min="12562" max="12562"/>
    <col width="10.875" customWidth="1" style="99" min="12563" max="12563"/>
    <col width="9" customWidth="1" style="99" min="12564" max="12800"/>
    <col width="2.25" customWidth="1" style="99" min="12801" max="12801"/>
    <col width="11.75" customWidth="1" style="99" min="12802" max="12803"/>
    <col width="10.5" customWidth="1" style="99" min="12804" max="12804"/>
    <col width="4.5" customWidth="1" style="99" min="12805" max="12805"/>
    <col width="3" customWidth="1" style="99" min="12806" max="12806"/>
    <col width="4.5" customWidth="1" style="99" min="12807" max="12807"/>
    <col width="3.25" customWidth="1" style="99" min="12808" max="12808"/>
    <col width="2.375" customWidth="1" style="99" min="12809" max="12809"/>
    <col width="4.125" customWidth="1" style="99" min="12810" max="12810"/>
    <col width="9" customWidth="1" style="99" min="12811" max="12811"/>
    <col width="4.75" customWidth="1" style="99" min="12812" max="12812"/>
    <col width="4" customWidth="1" style="99" min="12813" max="12815"/>
    <col width="3.375" customWidth="1" style="99" min="12816" max="12816"/>
    <col width="3.625" customWidth="1" style="99" min="12817" max="12817"/>
    <col width="3.875" customWidth="1" style="99" min="12818" max="12818"/>
    <col width="10.875" customWidth="1" style="99" min="12819" max="12819"/>
    <col width="9" customWidth="1" style="99" min="12820" max="13056"/>
    <col width="2.25" customWidth="1" style="99" min="13057" max="13057"/>
    <col width="11.75" customWidth="1" style="99" min="13058" max="13059"/>
    <col width="10.5" customWidth="1" style="99" min="13060" max="13060"/>
    <col width="4.5" customWidth="1" style="99" min="13061" max="13061"/>
    <col width="3" customWidth="1" style="99" min="13062" max="13062"/>
    <col width="4.5" customWidth="1" style="99" min="13063" max="13063"/>
    <col width="3.25" customWidth="1" style="99" min="13064" max="13064"/>
    <col width="2.375" customWidth="1" style="99" min="13065" max="13065"/>
    <col width="4.125" customWidth="1" style="99" min="13066" max="13066"/>
    <col width="9" customWidth="1" style="99" min="13067" max="13067"/>
    <col width="4.75" customWidth="1" style="99" min="13068" max="13068"/>
    <col width="4" customWidth="1" style="99" min="13069" max="13071"/>
    <col width="3.375" customWidth="1" style="99" min="13072" max="13072"/>
    <col width="3.625" customWidth="1" style="99" min="13073" max="13073"/>
    <col width="3.875" customWidth="1" style="99" min="13074" max="13074"/>
    <col width="10.875" customWidth="1" style="99" min="13075" max="13075"/>
    <col width="9" customWidth="1" style="99" min="13076" max="13312"/>
    <col width="2.25" customWidth="1" style="99" min="13313" max="13313"/>
    <col width="11.75" customWidth="1" style="99" min="13314" max="13315"/>
    <col width="10.5" customWidth="1" style="99" min="13316" max="13316"/>
    <col width="4.5" customWidth="1" style="99" min="13317" max="13317"/>
    <col width="3" customWidth="1" style="99" min="13318" max="13318"/>
    <col width="4.5" customWidth="1" style="99" min="13319" max="13319"/>
    <col width="3.25" customWidth="1" style="99" min="13320" max="13320"/>
    <col width="2.375" customWidth="1" style="99" min="13321" max="13321"/>
    <col width="4.125" customWidth="1" style="99" min="13322" max="13322"/>
    <col width="9" customWidth="1" style="99" min="13323" max="13323"/>
    <col width="4.75" customWidth="1" style="99" min="13324" max="13324"/>
    <col width="4" customWidth="1" style="99" min="13325" max="13327"/>
    <col width="3.375" customWidth="1" style="99" min="13328" max="13328"/>
    <col width="3.625" customWidth="1" style="99" min="13329" max="13329"/>
    <col width="3.875" customWidth="1" style="99" min="13330" max="13330"/>
    <col width="10.875" customWidth="1" style="99" min="13331" max="13331"/>
    <col width="9" customWidth="1" style="99" min="13332" max="13568"/>
    <col width="2.25" customWidth="1" style="99" min="13569" max="13569"/>
    <col width="11.75" customWidth="1" style="99" min="13570" max="13571"/>
    <col width="10.5" customWidth="1" style="99" min="13572" max="13572"/>
    <col width="4.5" customWidth="1" style="99" min="13573" max="13573"/>
    <col width="3" customWidth="1" style="99" min="13574" max="13574"/>
    <col width="4.5" customWidth="1" style="99" min="13575" max="13575"/>
    <col width="3.25" customWidth="1" style="99" min="13576" max="13576"/>
    <col width="2.375" customWidth="1" style="99" min="13577" max="13577"/>
    <col width="4.125" customWidth="1" style="99" min="13578" max="13578"/>
    <col width="9" customWidth="1" style="99" min="13579" max="13579"/>
    <col width="4.75" customWidth="1" style="99" min="13580" max="13580"/>
    <col width="4" customWidth="1" style="99" min="13581" max="13583"/>
    <col width="3.375" customWidth="1" style="99" min="13584" max="13584"/>
    <col width="3.625" customWidth="1" style="99" min="13585" max="13585"/>
    <col width="3.875" customWidth="1" style="99" min="13586" max="13586"/>
    <col width="10.875" customWidth="1" style="99" min="13587" max="13587"/>
    <col width="9" customWidth="1" style="99" min="13588" max="13824"/>
    <col width="2.25" customWidth="1" style="99" min="13825" max="13825"/>
    <col width="11.75" customWidth="1" style="99" min="13826" max="13827"/>
    <col width="10.5" customWidth="1" style="99" min="13828" max="13828"/>
    <col width="4.5" customWidth="1" style="99" min="13829" max="13829"/>
    <col width="3" customWidth="1" style="99" min="13830" max="13830"/>
    <col width="4.5" customWidth="1" style="99" min="13831" max="13831"/>
    <col width="3.25" customWidth="1" style="99" min="13832" max="13832"/>
    <col width="2.375" customWidth="1" style="99" min="13833" max="13833"/>
    <col width="4.125" customWidth="1" style="99" min="13834" max="13834"/>
    <col width="9" customWidth="1" style="99" min="13835" max="13835"/>
    <col width="4.75" customWidth="1" style="99" min="13836" max="13836"/>
    <col width="4" customWidth="1" style="99" min="13837" max="13839"/>
    <col width="3.375" customWidth="1" style="99" min="13840" max="13840"/>
    <col width="3.625" customWidth="1" style="99" min="13841" max="13841"/>
    <col width="3.875" customWidth="1" style="99" min="13842" max="13842"/>
    <col width="10.875" customWidth="1" style="99" min="13843" max="13843"/>
    <col width="9" customWidth="1" style="99" min="13844" max="14080"/>
    <col width="2.25" customWidth="1" style="99" min="14081" max="14081"/>
    <col width="11.75" customWidth="1" style="99" min="14082" max="14083"/>
    <col width="10.5" customWidth="1" style="99" min="14084" max="14084"/>
    <col width="4.5" customWidth="1" style="99" min="14085" max="14085"/>
    <col width="3" customWidth="1" style="99" min="14086" max="14086"/>
    <col width="4.5" customWidth="1" style="99" min="14087" max="14087"/>
    <col width="3.25" customWidth="1" style="99" min="14088" max="14088"/>
    <col width="2.375" customWidth="1" style="99" min="14089" max="14089"/>
    <col width="4.125" customWidth="1" style="99" min="14090" max="14090"/>
    <col width="9" customWidth="1" style="99" min="14091" max="14091"/>
    <col width="4.75" customWidth="1" style="99" min="14092" max="14092"/>
    <col width="4" customWidth="1" style="99" min="14093" max="14095"/>
    <col width="3.375" customWidth="1" style="99" min="14096" max="14096"/>
    <col width="3.625" customWidth="1" style="99" min="14097" max="14097"/>
    <col width="3.875" customWidth="1" style="99" min="14098" max="14098"/>
    <col width="10.875" customWidth="1" style="99" min="14099" max="14099"/>
    <col width="9" customWidth="1" style="99" min="14100" max="14336"/>
    <col width="2.25" customWidth="1" style="99" min="14337" max="14337"/>
    <col width="11.75" customWidth="1" style="99" min="14338" max="14339"/>
    <col width="10.5" customWidth="1" style="99" min="14340" max="14340"/>
    <col width="4.5" customWidth="1" style="99" min="14341" max="14341"/>
    <col width="3" customWidth="1" style="99" min="14342" max="14342"/>
    <col width="4.5" customWidth="1" style="99" min="14343" max="14343"/>
    <col width="3.25" customWidth="1" style="99" min="14344" max="14344"/>
    <col width="2.375" customWidth="1" style="99" min="14345" max="14345"/>
    <col width="4.125" customWidth="1" style="99" min="14346" max="14346"/>
    <col width="9" customWidth="1" style="99" min="14347" max="14347"/>
    <col width="4.75" customWidth="1" style="99" min="14348" max="14348"/>
    <col width="4" customWidth="1" style="99" min="14349" max="14351"/>
    <col width="3.375" customWidth="1" style="99" min="14352" max="14352"/>
    <col width="3.625" customWidth="1" style="99" min="14353" max="14353"/>
    <col width="3.875" customWidth="1" style="99" min="14354" max="14354"/>
    <col width="10.875" customWidth="1" style="99" min="14355" max="14355"/>
    <col width="9" customWidth="1" style="99" min="14356" max="14592"/>
    <col width="2.25" customWidth="1" style="99" min="14593" max="14593"/>
    <col width="11.75" customWidth="1" style="99" min="14594" max="14595"/>
    <col width="10.5" customWidth="1" style="99" min="14596" max="14596"/>
    <col width="4.5" customWidth="1" style="99" min="14597" max="14597"/>
    <col width="3" customWidth="1" style="99" min="14598" max="14598"/>
    <col width="4.5" customWidth="1" style="99" min="14599" max="14599"/>
    <col width="3.25" customWidth="1" style="99" min="14600" max="14600"/>
    <col width="2.375" customWidth="1" style="99" min="14601" max="14601"/>
    <col width="4.125" customWidth="1" style="99" min="14602" max="14602"/>
    <col width="9" customWidth="1" style="99" min="14603" max="14603"/>
    <col width="4.75" customWidth="1" style="99" min="14604" max="14604"/>
    <col width="4" customWidth="1" style="99" min="14605" max="14607"/>
    <col width="3.375" customWidth="1" style="99" min="14608" max="14608"/>
    <col width="3.625" customWidth="1" style="99" min="14609" max="14609"/>
    <col width="3.875" customWidth="1" style="99" min="14610" max="14610"/>
    <col width="10.875" customWidth="1" style="99" min="14611" max="14611"/>
    <col width="9" customWidth="1" style="99" min="14612" max="14848"/>
    <col width="2.25" customWidth="1" style="99" min="14849" max="14849"/>
    <col width="11.75" customWidth="1" style="99" min="14850" max="14851"/>
    <col width="10.5" customWidth="1" style="99" min="14852" max="14852"/>
    <col width="4.5" customWidth="1" style="99" min="14853" max="14853"/>
    <col width="3" customWidth="1" style="99" min="14854" max="14854"/>
    <col width="4.5" customWidth="1" style="99" min="14855" max="14855"/>
    <col width="3.25" customWidth="1" style="99" min="14856" max="14856"/>
    <col width="2.375" customWidth="1" style="99" min="14857" max="14857"/>
    <col width="4.125" customWidth="1" style="99" min="14858" max="14858"/>
    <col width="9" customWidth="1" style="99" min="14859" max="14859"/>
    <col width="4.75" customWidth="1" style="99" min="14860" max="14860"/>
    <col width="4" customWidth="1" style="99" min="14861" max="14863"/>
    <col width="3.375" customWidth="1" style="99" min="14864" max="14864"/>
    <col width="3.625" customWidth="1" style="99" min="14865" max="14865"/>
    <col width="3.875" customWidth="1" style="99" min="14866" max="14866"/>
    <col width="10.875" customWidth="1" style="99" min="14867" max="14867"/>
    <col width="9" customWidth="1" style="99" min="14868" max="15104"/>
    <col width="2.25" customWidth="1" style="99" min="15105" max="15105"/>
    <col width="11.75" customWidth="1" style="99" min="15106" max="15107"/>
    <col width="10.5" customWidth="1" style="99" min="15108" max="15108"/>
    <col width="4.5" customWidth="1" style="99" min="15109" max="15109"/>
    <col width="3" customWidth="1" style="99" min="15110" max="15110"/>
    <col width="4.5" customWidth="1" style="99" min="15111" max="15111"/>
    <col width="3.25" customWidth="1" style="99" min="15112" max="15112"/>
    <col width="2.375" customWidth="1" style="99" min="15113" max="15113"/>
    <col width="4.125" customWidth="1" style="99" min="15114" max="15114"/>
    <col width="9" customWidth="1" style="99" min="15115" max="15115"/>
    <col width="4.75" customWidth="1" style="99" min="15116" max="15116"/>
    <col width="4" customWidth="1" style="99" min="15117" max="15119"/>
    <col width="3.375" customWidth="1" style="99" min="15120" max="15120"/>
    <col width="3.625" customWidth="1" style="99" min="15121" max="15121"/>
    <col width="3.875" customWidth="1" style="99" min="15122" max="15122"/>
    <col width="10.875" customWidth="1" style="99" min="15123" max="15123"/>
    <col width="9" customWidth="1" style="99" min="15124" max="15360"/>
    <col width="2.25" customWidth="1" style="99" min="15361" max="15361"/>
    <col width="11.75" customWidth="1" style="99" min="15362" max="15363"/>
    <col width="10.5" customWidth="1" style="99" min="15364" max="15364"/>
    <col width="4.5" customWidth="1" style="99" min="15365" max="15365"/>
    <col width="3" customWidth="1" style="99" min="15366" max="15366"/>
    <col width="4.5" customWidth="1" style="99" min="15367" max="15367"/>
    <col width="3.25" customWidth="1" style="99" min="15368" max="15368"/>
    <col width="2.375" customWidth="1" style="99" min="15369" max="15369"/>
    <col width="4.125" customWidth="1" style="99" min="15370" max="15370"/>
    <col width="9" customWidth="1" style="99" min="15371" max="15371"/>
    <col width="4.75" customWidth="1" style="99" min="15372" max="15372"/>
    <col width="4" customWidth="1" style="99" min="15373" max="15375"/>
    <col width="3.375" customWidth="1" style="99" min="15376" max="15376"/>
    <col width="3.625" customWidth="1" style="99" min="15377" max="15377"/>
    <col width="3.875" customWidth="1" style="99" min="15378" max="15378"/>
    <col width="10.875" customWidth="1" style="99" min="15379" max="15379"/>
    <col width="9" customWidth="1" style="99" min="15380" max="15616"/>
    <col width="2.25" customWidth="1" style="99" min="15617" max="15617"/>
    <col width="11.75" customWidth="1" style="99" min="15618" max="15619"/>
    <col width="10.5" customWidth="1" style="99" min="15620" max="15620"/>
    <col width="4.5" customWidth="1" style="99" min="15621" max="15621"/>
    <col width="3" customWidth="1" style="99" min="15622" max="15622"/>
    <col width="4.5" customWidth="1" style="99" min="15623" max="15623"/>
    <col width="3.25" customWidth="1" style="99" min="15624" max="15624"/>
    <col width="2.375" customWidth="1" style="99" min="15625" max="15625"/>
    <col width="4.125" customWidth="1" style="99" min="15626" max="15626"/>
    <col width="9" customWidth="1" style="99" min="15627" max="15627"/>
    <col width="4.75" customWidth="1" style="99" min="15628" max="15628"/>
    <col width="4" customWidth="1" style="99" min="15629" max="15631"/>
    <col width="3.375" customWidth="1" style="99" min="15632" max="15632"/>
    <col width="3.625" customWidth="1" style="99" min="15633" max="15633"/>
    <col width="3.875" customWidth="1" style="99" min="15634" max="15634"/>
    <col width="10.875" customWidth="1" style="99" min="15635" max="15635"/>
    <col width="9" customWidth="1" style="99" min="15636" max="15872"/>
    <col width="2.25" customWidth="1" style="99" min="15873" max="15873"/>
    <col width="11.75" customWidth="1" style="99" min="15874" max="15875"/>
    <col width="10.5" customWidth="1" style="99" min="15876" max="15876"/>
    <col width="4.5" customWidth="1" style="99" min="15877" max="15877"/>
    <col width="3" customWidth="1" style="99" min="15878" max="15878"/>
    <col width="4.5" customWidth="1" style="99" min="15879" max="15879"/>
    <col width="3.25" customWidth="1" style="99" min="15880" max="15880"/>
    <col width="2.375" customWidth="1" style="99" min="15881" max="15881"/>
    <col width="4.125" customWidth="1" style="99" min="15882" max="15882"/>
    <col width="9" customWidth="1" style="99" min="15883" max="15883"/>
    <col width="4.75" customWidth="1" style="99" min="15884" max="15884"/>
    <col width="4" customWidth="1" style="99" min="15885" max="15887"/>
    <col width="3.375" customWidth="1" style="99" min="15888" max="15888"/>
    <col width="3.625" customWidth="1" style="99" min="15889" max="15889"/>
    <col width="3.875" customWidth="1" style="99" min="15890" max="15890"/>
    <col width="10.875" customWidth="1" style="99" min="15891" max="15891"/>
    <col width="9" customWidth="1" style="99" min="15892" max="16128"/>
    <col width="2.25" customWidth="1" style="99" min="16129" max="16129"/>
    <col width="11.75" customWidth="1" style="99" min="16130" max="16131"/>
    <col width="10.5" customWidth="1" style="99" min="16132" max="16132"/>
    <col width="4.5" customWidth="1" style="99" min="16133" max="16133"/>
    <col width="3" customWidth="1" style="99" min="16134" max="16134"/>
    <col width="4.5" customWidth="1" style="99" min="16135" max="16135"/>
    <col width="3.25" customWidth="1" style="99" min="16136" max="16136"/>
    <col width="2.375" customWidth="1" style="99" min="16137" max="16137"/>
    <col width="4.125" customWidth="1" style="99" min="16138" max="16138"/>
    <col width="9" customWidth="1" style="99" min="16139" max="16139"/>
    <col width="4.75" customWidth="1" style="99" min="16140" max="16140"/>
    <col width="4" customWidth="1" style="99" min="16141" max="16143"/>
    <col width="3.375" customWidth="1" style="99" min="16144" max="16144"/>
    <col width="3.625" customWidth="1" style="99" min="16145" max="16145"/>
    <col width="3.875" customWidth="1" style="99" min="16146" max="16146"/>
    <col width="10.875" customWidth="1" style="99" min="16147" max="16147"/>
    <col width="9" customWidth="1" style="99" min="16148" max="16384"/>
  </cols>
  <sheetData>
    <row r="1">
      <c r="A1" s="98" t="n"/>
      <c r="B1" s="98" t="n"/>
      <c r="C1" s="98" t="n"/>
      <c r="D1" s="98" t="n"/>
      <c r="E1" s="98" t="n"/>
      <c r="F1" s="98" t="n"/>
      <c r="G1" s="98" t="n"/>
      <c r="H1" s="98" t="n"/>
      <c r="I1" s="98" t="n"/>
      <c r="J1" s="98" t="n"/>
      <c r="K1" s="98" t="n"/>
      <c r="L1" s="98" t="n"/>
      <c r="M1" s="98" t="n"/>
      <c r="N1" s="98" t="n"/>
      <c r="O1" s="98" t="n"/>
      <c r="P1" s="98" t="n"/>
      <c r="Q1" s="98" t="n"/>
      <c r="R1" s="98" t="n"/>
      <c r="S1" s="98" t="n"/>
    </row>
    <row r="2">
      <c r="A2" s="98" t="n"/>
      <c r="B2" s="98" t="n"/>
      <c r="C2" s="98" t="n"/>
      <c r="D2" s="98" t="n"/>
      <c r="E2" s="98" t="n"/>
      <c r="F2" s="98" t="n"/>
      <c r="G2" s="98" t="n"/>
      <c r="H2" s="98" t="n"/>
      <c r="I2" s="98" t="n"/>
      <c r="J2" s="98" t="n"/>
      <c r="K2" s="98" t="n"/>
      <c r="L2" s="98" t="n"/>
      <c r="M2" s="98" t="n"/>
      <c r="N2" s="98" t="n"/>
      <c r="O2" s="98" t="n"/>
      <c r="P2" s="98" t="n"/>
      <c r="Q2" s="98" t="n"/>
      <c r="R2" s="98" t="n"/>
      <c r="S2" s="98" t="n"/>
    </row>
    <row r="3">
      <c r="A3" s="98" t="n"/>
      <c r="B3" s="98" t="n"/>
      <c r="C3" s="98" t="n"/>
      <c r="D3" s="98" t="n"/>
      <c r="E3" s="98" t="n"/>
      <c r="F3" s="98" t="n"/>
      <c r="G3" s="98" t="n"/>
      <c r="H3" s="98" t="n"/>
      <c r="I3" s="98" t="n"/>
      <c r="J3" s="98" t="n"/>
      <c r="K3" s="98" t="n"/>
      <c r="L3" s="98" t="n"/>
      <c r="M3" s="98" t="n"/>
      <c r="N3" s="98" t="n"/>
      <c r="O3" s="98" t="n"/>
      <c r="P3" s="98" t="n"/>
      <c r="Q3" s="98" t="n"/>
      <c r="R3" s="98" t="n"/>
      <c r="S3" s="98" t="n"/>
    </row>
    <row r="4" ht="32.25" customHeight="1" s="643">
      <c r="A4" s="553" t="inlineStr">
        <is>
          <t>定期購入申請書</t>
        </is>
      </c>
    </row>
    <row r="5" ht="28.5" customHeight="1" s="643" thickBot="1">
      <c r="B5" s="205" t="n"/>
      <c r="C5" s="205" t="n"/>
      <c r="D5" s="205" t="n"/>
      <c r="E5" s="205" t="n"/>
      <c r="F5" s="205" t="n"/>
      <c r="G5" s="205" t="n"/>
      <c r="H5" s="205" t="n"/>
      <c r="I5" s="205" t="n"/>
      <c r="J5" s="205" t="n"/>
      <c r="K5" s="205" t="n"/>
      <c r="L5" s="205" t="n"/>
      <c r="M5" s="205" t="n"/>
      <c r="N5" s="205" t="n"/>
      <c r="O5" s="205" t="n"/>
      <c r="P5" s="205" t="n"/>
      <c r="Q5" s="205" t="n"/>
      <c r="R5" s="205" t="n"/>
      <c r="S5" s="205" t="n"/>
    </row>
    <row r="6" ht="18" customHeight="1" s="643" thickBot="1">
      <c r="A6" s="98" t="n"/>
      <c r="B6" s="100" t="n"/>
      <c r="C6" s="100" t="n"/>
      <c r="D6" s="100" t="n"/>
      <c r="E6" s="100" t="n"/>
      <c r="F6" s="100" t="n"/>
      <c r="G6" s="100" t="n"/>
      <c r="H6" s="100" t="n"/>
      <c r="I6" s="100" t="n"/>
      <c r="J6" s="100" t="n"/>
      <c r="K6" s="100" t="n"/>
      <c r="L6" s="100" t="n"/>
      <c r="M6" s="100" t="n"/>
      <c r="N6" s="100" t="n"/>
      <c r="O6" s="100" t="n"/>
      <c r="P6" s="554" t="inlineStr">
        <is>
          <t>PD</t>
        </is>
      </c>
      <c r="Q6" s="696" t="n"/>
      <c r="R6" s="710" t="n"/>
      <c r="S6" s="216" t="inlineStr">
        <is>
          <t>担当者</t>
        </is>
      </c>
    </row>
    <row r="7" ht="24" customHeight="1" s="643" thickBot="1">
      <c r="A7" s="98" t="n"/>
      <c r="B7" s="557">
        <f>勤務表!$S$4</f>
        <v/>
      </c>
      <c r="C7" s="703" t="n"/>
      <c r="D7" s="703" t="n"/>
      <c r="E7" s="703" t="n"/>
      <c r="F7" s="208" t="n"/>
      <c r="G7" s="100" t="n"/>
      <c r="H7" s="100" t="n"/>
      <c r="I7" s="100" t="n"/>
      <c r="J7" s="100" t="n"/>
      <c r="K7" s="100" t="n"/>
      <c r="L7" s="100" t="n"/>
      <c r="M7" s="100" t="n"/>
      <c r="N7" s="100" t="n"/>
      <c r="O7" s="100" t="n"/>
      <c r="P7" s="529" t="inlineStr">
        <is>
          <t>印</t>
        </is>
      </c>
      <c r="R7" s="714" t="n"/>
      <c r="S7" s="561" t="inlineStr">
        <is>
          <t>印</t>
        </is>
      </c>
    </row>
    <row r="8" ht="27.75" customHeight="1" s="643" thickBot="1">
      <c r="A8" s="98" t="n"/>
      <c r="B8" s="101" t="inlineStr">
        <is>
          <t>代表取締役　　坂本　一也　様</t>
        </is>
      </c>
      <c r="C8" s="101" t="n"/>
      <c r="D8" s="101" t="n"/>
      <c r="E8" s="101" t="n"/>
      <c r="F8" s="209" t="n"/>
      <c r="G8" s="100" t="n"/>
      <c r="I8" s="98" t="n"/>
      <c r="J8" s="98" t="n"/>
      <c r="K8" s="100" t="n"/>
      <c r="L8" s="100" t="n"/>
      <c r="M8" s="100" t="n"/>
      <c r="N8" s="100" t="n"/>
      <c r="O8" s="100" t="n"/>
      <c r="P8" s="719" t="n"/>
      <c r="R8" s="714" t="n"/>
      <c r="S8" s="754" t="n"/>
    </row>
    <row r="9" ht="6" customHeight="1" s="643" thickBot="1">
      <c r="A9" s="98" t="n"/>
      <c r="B9" s="100" t="n"/>
      <c r="C9" s="100" t="n"/>
      <c r="D9" s="100" t="n"/>
      <c r="E9" s="100" t="n"/>
      <c r="F9" s="100" t="n"/>
      <c r="G9" s="100" t="n"/>
      <c r="H9" s="100" t="n"/>
      <c r="I9" s="100" t="n"/>
      <c r="J9" s="100" t="n"/>
      <c r="K9" s="100" t="n"/>
      <c r="L9" s="100" t="n"/>
      <c r="M9" s="100" t="n"/>
      <c r="N9" s="100" t="n"/>
      <c r="O9" s="100" t="n"/>
      <c r="P9" s="755" t="n"/>
      <c r="Q9" s="756" t="n"/>
      <c r="R9" s="716" t="n"/>
      <c r="S9" s="757" t="n"/>
    </row>
    <row r="10" ht="9.75" customHeight="1" s="643">
      <c r="A10" s="98" t="n"/>
      <c r="B10" s="100" t="n"/>
      <c r="C10" s="100" t="n"/>
      <c r="D10" s="100" t="n"/>
      <c r="E10" s="100" t="n"/>
      <c r="F10" s="100" t="n"/>
      <c r="G10" s="100" t="n"/>
      <c r="H10" s="100" t="n"/>
      <c r="I10" s="100" t="n"/>
      <c r="J10" s="100" t="n"/>
      <c r="K10" s="100" t="n"/>
      <c r="L10" s="100" t="n"/>
      <c r="M10" s="100" t="n"/>
      <c r="N10" s="100" t="n"/>
      <c r="O10" s="100" t="n"/>
      <c r="P10" s="100" t="n"/>
      <c r="Q10" s="100" t="n"/>
      <c r="R10" s="100" t="n"/>
      <c r="S10" s="100" t="n"/>
      <c r="W10" s="103" t="n"/>
    </row>
    <row r="11" ht="6" customHeight="1" s="643">
      <c r="A11" s="98" t="n"/>
      <c r="B11" s="100" t="n"/>
      <c r="C11" s="100" t="n"/>
      <c r="D11" s="100" t="n"/>
      <c r="E11" s="100" t="n"/>
      <c r="F11" s="100" t="n"/>
      <c r="G11" s="100" t="n"/>
      <c r="H11" s="100" t="n"/>
      <c r="I11" s="100" t="n"/>
      <c r="J11" s="100" t="n"/>
      <c r="K11" s="100" t="n"/>
      <c r="L11" s="100" t="n"/>
      <c r="M11" s="100" t="n"/>
      <c r="N11" s="100" t="n"/>
      <c r="O11" s="100" t="n"/>
      <c r="P11" s="100" t="n"/>
      <c r="Q11" s="100" t="n"/>
      <c r="R11" s="100" t="n"/>
      <c r="S11" s="100" t="n"/>
      <c r="W11" s="103" t="n"/>
    </row>
    <row r="12" ht="6" customHeight="1" s="643">
      <c r="A12" s="98" t="n"/>
      <c r="B12" s="100" t="n"/>
      <c r="C12" s="100" t="n"/>
      <c r="D12" s="100" t="n"/>
      <c r="E12" s="100" t="n"/>
      <c r="F12" s="100" t="n"/>
      <c r="G12" s="100" t="n"/>
      <c r="H12" s="100" t="n"/>
      <c r="I12" s="100" t="n"/>
      <c r="J12" s="100" t="n"/>
      <c r="K12" s="100" t="n"/>
      <c r="L12" s="100" t="n"/>
      <c r="M12" s="100" t="n"/>
      <c r="N12" s="100" t="n"/>
      <c r="O12" s="100" t="n"/>
      <c r="P12" s="100" t="n"/>
      <c r="Q12" s="100" t="n"/>
      <c r="R12" s="100" t="n"/>
      <c r="S12" s="100" t="n"/>
      <c r="W12" s="103" t="n"/>
    </row>
    <row r="13" ht="6" customHeight="1" s="643">
      <c r="A13" s="98" t="n"/>
      <c r="B13" s="100" t="n"/>
      <c r="C13" s="100" t="n"/>
      <c r="D13" s="100" t="n"/>
      <c r="E13" s="100" t="n"/>
      <c r="F13" s="100" t="n"/>
      <c r="G13" s="100" t="n"/>
      <c r="H13" s="100" t="n"/>
      <c r="I13" s="100" t="n"/>
      <c r="J13" s="100" t="n"/>
      <c r="K13" s="100" t="n"/>
      <c r="L13" s="100" t="n"/>
      <c r="M13" s="100" t="n"/>
      <c r="N13" s="100" t="n"/>
      <c r="O13" s="100" t="n"/>
      <c r="P13" s="100" t="n"/>
      <c r="Q13" s="100" t="n"/>
      <c r="R13" s="100" t="n"/>
      <c r="S13" s="100" t="n"/>
      <c r="W13" s="103" t="n"/>
    </row>
    <row r="14" ht="6" customHeight="1" s="643">
      <c r="A14" s="98" t="n"/>
      <c r="B14" s="100" t="n"/>
      <c r="C14" s="100" t="n"/>
      <c r="D14" s="100" t="n"/>
      <c r="E14" s="100" t="n"/>
      <c r="F14" s="100" t="n"/>
      <c r="G14" s="100" t="n"/>
      <c r="H14" s="100" t="n"/>
      <c r="I14" s="100" t="n"/>
      <c r="J14" s="100" t="n"/>
      <c r="K14" s="100" t="n"/>
      <c r="L14" s="100" t="n"/>
      <c r="M14" s="100" t="n"/>
      <c r="N14" s="100" t="n"/>
      <c r="O14" s="100" t="n"/>
      <c r="P14" s="100" t="n"/>
      <c r="Q14" s="100" t="n"/>
      <c r="R14" s="100" t="n"/>
      <c r="S14" s="100" t="n"/>
      <c r="W14" s="103" t="n"/>
    </row>
    <row r="15" ht="6" customHeight="1" s="643">
      <c r="A15" s="98" t="n"/>
      <c r="B15" s="100" t="n"/>
      <c r="C15" s="100" t="n"/>
      <c r="D15" s="100" t="n"/>
      <c r="E15" s="100" t="n"/>
      <c r="F15" s="100" t="n"/>
      <c r="G15" s="100" t="n"/>
      <c r="H15" s="100" t="n"/>
      <c r="I15" s="100" t="n"/>
      <c r="J15" s="100" t="n"/>
      <c r="K15" s="100" t="n"/>
      <c r="L15" s="100" t="n"/>
      <c r="M15" s="100" t="n"/>
      <c r="N15" s="100" t="n"/>
      <c r="O15" s="100" t="n"/>
      <c r="P15" s="100" t="n"/>
      <c r="Q15" s="100" t="n"/>
      <c r="R15" s="100" t="n"/>
      <c r="S15" s="100" t="n"/>
      <c r="W15" s="103" t="n"/>
    </row>
    <row r="16" ht="6" customHeight="1" s="643">
      <c r="A16" s="98" t="n"/>
      <c r="B16" s="100" t="n"/>
      <c r="C16" s="100" t="n"/>
      <c r="D16" s="100" t="n"/>
      <c r="E16" s="100" t="n"/>
      <c r="F16" s="100" t="n"/>
      <c r="G16" s="100" t="n"/>
      <c r="H16" s="100" t="n"/>
      <c r="I16" s="100" t="n"/>
      <c r="J16" s="100" t="n"/>
      <c r="K16" s="100" t="n"/>
      <c r="L16" s="100" t="n"/>
      <c r="M16" s="100" t="n"/>
      <c r="N16" s="100" t="n"/>
      <c r="O16" s="100" t="n"/>
      <c r="P16" s="100" t="n"/>
      <c r="Q16" s="100" t="n"/>
      <c r="R16" s="100" t="n"/>
      <c r="S16" s="100" t="n"/>
      <c r="W16" s="103" t="n"/>
    </row>
    <row r="17" ht="14.25" customHeight="1" s="643" thickBot="1">
      <c r="A17" s="206" t="n"/>
      <c r="B17" s="207" t="n"/>
      <c r="C17" s="207" t="n"/>
      <c r="D17" s="207" t="n"/>
      <c r="E17" s="207" t="n"/>
      <c r="F17" s="207" t="n"/>
      <c r="G17" s="207" t="n"/>
      <c r="H17" s="207" t="n"/>
      <c r="I17" s="207" t="n"/>
      <c r="J17" s="207" t="n"/>
      <c r="K17" s="207" t="n"/>
      <c r="L17" s="207" t="n"/>
      <c r="M17" s="207" t="n"/>
      <c r="N17" s="207" t="n"/>
      <c r="O17" s="207" t="n"/>
      <c r="P17" s="207" t="n"/>
      <c r="Q17" s="207" t="n"/>
      <c r="R17" s="207" t="n"/>
      <c r="S17" s="207" t="n"/>
    </row>
    <row r="18" ht="36.75" customHeight="1" s="643" thickBot="1">
      <c r="A18" s="549" t="inlineStr">
        <is>
          <t>申請日</t>
        </is>
      </c>
      <c r="B18" s="758" t="n"/>
      <c r="C18" s="759">
        <f>Data!T3</f>
        <v/>
      </c>
      <c r="D18" s="760" t="n"/>
      <c r="E18" s="760" t="n"/>
      <c r="F18" s="760" t="n"/>
      <c r="G18" s="760" t="n"/>
      <c r="H18" s="760" t="n"/>
      <c r="I18" s="760" t="n"/>
      <c r="J18" s="760" t="n"/>
      <c r="K18" s="760" t="n"/>
      <c r="L18" s="760" t="n"/>
      <c r="M18" s="760" t="n"/>
      <c r="N18" s="760" t="n"/>
      <c r="O18" s="760" t="n"/>
      <c r="P18" s="760" t="n"/>
      <c r="Q18" s="760" t="n"/>
      <c r="R18" s="760" t="n"/>
      <c r="S18" s="761" t="n"/>
    </row>
    <row r="19" ht="14.25" customHeight="1" s="643" thickBot="1">
      <c r="A19" s="532" t="inlineStr">
        <is>
          <t>氏名</t>
        </is>
      </c>
      <c r="B19" s="758" t="n"/>
      <c r="C19" s="762" t="n"/>
      <c r="D19" s="100" t="n"/>
      <c r="E19" s="100" t="n"/>
      <c r="F19" s="100" t="n"/>
      <c r="G19" s="100" t="n"/>
      <c r="H19" s="100" t="n"/>
      <c r="I19" s="100" t="n"/>
      <c r="J19" s="100" t="n"/>
      <c r="K19" s="100" t="n"/>
      <c r="L19" s="100" t="n"/>
      <c r="M19" s="100" t="n"/>
      <c r="N19" s="100" t="n"/>
      <c r="O19" s="100" t="n"/>
      <c r="P19" s="100" t="n"/>
      <c r="Q19" s="100" t="n"/>
      <c r="R19" s="100" t="n"/>
      <c r="S19" s="104" t="n"/>
    </row>
    <row r="20" ht="14.25" customHeight="1" s="643" thickBot="1">
      <c r="A20" s="719" t="n"/>
      <c r="B20" s="714" t="n"/>
      <c r="C20" s="719" t="n"/>
      <c r="D20" s="543">
        <f>勤務表!$S$5</f>
        <v/>
      </c>
      <c r="M20" s="100" t="n"/>
      <c r="N20" s="100" t="n"/>
      <c r="O20" s="100" t="n"/>
      <c r="P20" s="100" t="n"/>
      <c r="Q20" s="100" t="n"/>
      <c r="R20" s="100" t="n"/>
      <c r="S20" s="102" t="n"/>
    </row>
    <row r="21" ht="14.25" customHeight="1" s="643" thickBot="1">
      <c r="A21" s="719" t="n"/>
      <c r="B21" s="714" t="n"/>
      <c r="C21" s="719" t="n"/>
      <c r="M21" s="544" t="inlineStr">
        <is>
          <t>印</t>
        </is>
      </c>
      <c r="N21" s="544" t="n"/>
      <c r="O21" s="544" t="n"/>
      <c r="P21" s="544" t="n"/>
      <c r="Q21" s="544" t="n"/>
      <c r="R21" s="100" t="n"/>
      <c r="S21" s="102" t="n"/>
    </row>
    <row r="22" ht="18" customHeight="1" s="643" thickBot="1">
      <c r="A22" s="755" t="n"/>
      <c r="B22" s="716" t="n"/>
      <c r="C22" s="755" t="n"/>
      <c r="N22" s="544" t="n"/>
      <c r="O22" s="544" t="n"/>
      <c r="P22" s="544" t="n"/>
      <c r="Q22" s="544" t="n"/>
      <c r="S22" s="102" t="n"/>
    </row>
    <row r="23" ht="14.25" customHeight="1" s="643" thickBot="1">
      <c r="A23" s="545" t="inlineStr">
        <is>
          <t>適用期間</t>
        </is>
      </c>
      <c r="B23" s="714" t="n"/>
      <c r="C23" s="546" t="n"/>
      <c r="D23" s="106" t="n"/>
      <c r="E23" s="106" t="n"/>
      <c r="F23" s="106" t="n"/>
      <c r="G23" s="106" t="n"/>
      <c r="H23" s="106" t="n"/>
      <c r="I23" s="106" t="n"/>
      <c r="J23" s="106" t="n"/>
      <c r="K23" s="106" t="n"/>
      <c r="L23" s="106" t="n"/>
      <c r="M23" s="106" t="n"/>
      <c r="N23" s="106" t="n"/>
      <c r="O23" s="106" t="n"/>
      <c r="P23" s="106" t="n"/>
      <c r="Q23" s="106" t="n"/>
      <c r="R23" s="106" t="n"/>
      <c r="S23" s="107" t="n"/>
    </row>
    <row r="24" ht="14.25" customHeight="1" s="643" thickBot="1">
      <c r="A24" s="719" t="n"/>
      <c r="B24" s="714" t="n"/>
      <c r="C24" s="719" t="n"/>
      <c r="D24" s="763">
        <f>勤務表!$A$8</f>
        <v/>
      </c>
      <c r="J24" s="108" t="inlineStr">
        <is>
          <t>～</t>
        </is>
      </c>
      <c r="K24" s="764">
        <f>DATE(YEAR(D24),MONTH(D24)+1,1)-1</f>
        <v/>
      </c>
      <c r="O24" s="100" t="n"/>
      <c r="P24" s="100" t="n"/>
      <c r="Q24" s="100" t="n"/>
      <c r="R24" s="100" t="n"/>
      <c r="S24" s="102" t="n"/>
    </row>
    <row r="25" ht="14.25" customHeight="1" s="643" thickBot="1">
      <c r="A25" s="719" t="n"/>
      <c r="B25" s="714" t="n"/>
      <c r="C25" s="755" t="n"/>
      <c r="D25" s="109" t="n"/>
      <c r="E25" s="109" t="n"/>
      <c r="F25" s="109" t="n"/>
      <c r="G25" s="109" t="n"/>
      <c r="H25" s="109" t="n"/>
      <c r="I25" s="109" t="n"/>
      <c r="J25" s="109" t="n"/>
      <c r="K25" s="109" t="n"/>
      <c r="L25" s="109" t="n"/>
      <c r="M25" s="109" t="n"/>
      <c r="N25" s="109" t="n"/>
      <c r="O25" s="109" t="n"/>
      <c r="P25" s="109" t="n"/>
      <c r="Q25" s="109" t="n"/>
      <c r="R25" s="109" t="n"/>
      <c r="S25" s="110" t="n"/>
    </row>
    <row r="26" ht="39" customHeight="1" s="643" thickBot="1">
      <c r="A26" s="532" t="inlineStr">
        <is>
          <t>金額</t>
        </is>
      </c>
      <c r="B26" s="758" t="n"/>
      <c r="C26" s="111" t="n"/>
      <c r="D26" s="106" t="n"/>
      <c r="E26" s="106" t="n"/>
      <c r="F26" s="106" t="n"/>
      <c r="G26" s="106" t="n"/>
      <c r="H26" s="106" t="n"/>
      <c r="I26" s="106" t="n"/>
      <c r="J26" s="765" t="n"/>
      <c r="K26" s="766" t="n"/>
      <c r="L26" s="204" t="inlineStr">
        <is>
          <t>円</t>
        </is>
      </c>
      <c r="N26" s="106" t="n"/>
      <c r="O26" s="106" t="n"/>
      <c r="P26" s="106" t="n"/>
      <c r="Q26" s="106" t="n"/>
      <c r="R26" s="106" t="n"/>
      <c r="S26" s="102" t="n"/>
    </row>
    <row r="27" ht="6" customHeight="1" s="643" thickBot="1">
      <c r="A27" s="755" t="n"/>
      <c r="B27" s="716" t="n"/>
      <c r="C27" s="112" t="n"/>
      <c r="D27" s="109" t="n"/>
      <c r="E27" s="109" t="n"/>
      <c r="F27" s="109" t="n"/>
      <c r="G27" s="109" t="n"/>
      <c r="H27" s="109" t="n"/>
      <c r="I27" s="109" t="n"/>
      <c r="J27" s="756" t="n"/>
      <c r="K27" s="756" t="n"/>
      <c r="L27" s="203" t="n"/>
      <c r="M27" s="202" t="n"/>
      <c r="N27" s="109" t="n"/>
      <c r="O27" s="109" t="n"/>
      <c r="P27" s="109" t="n"/>
      <c r="Q27" s="109" t="n"/>
      <c r="R27" s="109" t="n"/>
      <c r="S27" s="110" t="n"/>
    </row>
    <row r="28" ht="23.25" customHeight="1" s="643" thickBot="1">
      <c r="A28" s="767" t="inlineStr">
        <is>
          <t>区間</t>
        </is>
      </c>
      <c r="B28" s="714" t="n"/>
      <c r="C28" s="113" t="n"/>
      <c r="D28" s="534" t="n"/>
      <c r="E28" s="766" t="n"/>
      <c r="F28" s="766" t="n"/>
      <c r="G28" s="137" t="n"/>
      <c r="H28" s="137" t="n"/>
      <c r="I28" s="137" t="n"/>
      <c r="J28" s="137" t="n"/>
      <c r="K28" s="137" t="n"/>
      <c r="L28" s="137" t="n"/>
      <c r="M28" s="137" t="n"/>
      <c r="N28" s="137" t="n"/>
      <c r="O28" s="137" t="n"/>
      <c r="P28" s="137" t="n"/>
      <c r="Q28" s="137" t="n"/>
      <c r="R28" s="137" t="n"/>
      <c r="S28" s="102" t="n"/>
    </row>
    <row r="29" ht="23.25" customHeight="1" s="643" thickBot="1">
      <c r="A29" s="719" t="n"/>
      <c r="B29" s="714" t="n"/>
      <c r="C29" s="140" t="n"/>
      <c r="D29" s="536" t="n"/>
      <c r="J29" s="115" t="inlineStr">
        <is>
          <t>駅</t>
        </is>
      </c>
      <c r="K29" s="115" t="inlineStr">
        <is>
          <t>～</t>
        </is>
      </c>
      <c r="L29" s="115" t="n"/>
      <c r="M29" s="115" t="n"/>
      <c r="N29" s="115" t="n"/>
      <c r="O29" s="115" t="n"/>
      <c r="P29" s="115" t="n"/>
      <c r="Q29" s="115" t="n"/>
      <c r="R29" s="115" t="n"/>
      <c r="S29" s="102" t="n"/>
    </row>
    <row r="30" ht="23.25" customHeight="1" s="643" thickBot="1">
      <c r="A30" s="719" t="n"/>
      <c r="B30" s="714" t="n"/>
      <c r="C30" s="114" t="n"/>
      <c r="D30" s="115" t="n"/>
      <c r="E30" s="115" t="n"/>
      <c r="F30" s="115" t="n"/>
      <c r="G30" s="115" t="n"/>
      <c r="H30" s="115" t="n"/>
      <c r="I30" s="115" t="n"/>
      <c r="J30" s="115" t="n"/>
      <c r="K30" s="115" t="n"/>
      <c r="L30" s="115" t="n"/>
      <c r="M30" s="115" t="n"/>
      <c r="N30" s="115" t="n"/>
      <c r="O30" s="115" t="n"/>
      <c r="P30" s="115" t="n"/>
      <c r="Q30" s="115" t="n"/>
      <c r="R30" s="115" t="n"/>
      <c r="S30" s="102" t="n"/>
    </row>
    <row r="31" ht="23.25" customHeight="1" s="643" thickBot="1">
      <c r="A31" s="719" t="n"/>
      <c r="B31" s="714" t="n"/>
      <c r="C31" s="116" t="n"/>
      <c r="D31" s="138" t="inlineStr">
        <is>
          <t xml:space="preserve">経由　</t>
        </is>
      </c>
      <c r="E31" s="538" t="n"/>
      <c r="S31" s="714" t="n"/>
    </row>
    <row r="32" ht="23.25" customHeight="1" s="643" thickBot="1">
      <c r="A32" s="719" t="n"/>
      <c r="B32" s="714" t="n"/>
      <c r="C32" s="116" t="n"/>
      <c r="D32" s="115" t="n"/>
      <c r="E32" s="115" t="n"/>
      <c r="F32" s="115" t="n"/>
      <c r="G32" s="115" t="n"/>
      <c r="H32" s="115" t="n"/>
      <c r="I32" s="115" t="n"/>
      <c r="J32" s="115" t="n"/>
      <c r="K32" s="115" t="n"/>
      <c r="L32" s="115" t="n"/>
      <c r="M32" s="115" t="n"/>
      <c r="N32" s="115" t="n"/>
      <c r="O32" s="115" t="n"/>
      <c r="P32" s="115" t="n"/>
      <c r="Q32" s="115" t="n"/>
      <c r="R32" s="115" t="n"/>
      <c r="S32" s="102" t="n"/>
    </row>
    <row r="33" ht="23.25" customHeight="1" s="643" thickBot="1">
      <c r="A33" s="719" t="n"/>
      <c r="B33" s="714" t="n"/>
      <c r="C33" s="116" t="n"/>
      <c r="D33" s="115" t="n"/>
      <c r="E33" s="115" t="n"/>
      <c r="F33" s="115" t="n"/>
      <c r="G33" s="115" t="n"/>
      <c r="H33" s="115" t="n"/>
      <c r="I33" s="115" t="n"/>
      <c r="J33" s="115" t="n"/>
      <c r="K33" s="138" t="inlineStr">
        <is>
          <t>～</t>
        </is>
      </c>
      <c r="L33" s="535" t="n"/>
      <c r="Q33" s="139" t="inlineStr">
        <is>
          <t>駅</t>
        </is>
      </c>
      <c r="R33" s="115" t="n"/>
      <c r="S33" s="102" t="n"/>
    </row>
    <row r="34" ht="23.25" customHeight="1" s="643" thickBot="1">
      <c r="A34" s="755" t="n"/>
      <c r="B34" s="716" t="n"/>
      <c r="C34" s="112" t="n"/>
      <c r="D34" s="117" t="n"/>
      <c r="E34" s="117" t="n"/>
      <c r="F34" s="117" t="n"/>
      <c r="G34" s="117" t="n"/>
      <c r="H34" s="117" t="n"/>
      <c r="I34" s="117" t="n"/>
      <c r="J34" s="117" t="n"/>
      <c r="K34" s="98" t="n"/>
      <c r="L34" s="98" t="n"/>
      <c r="M34" s="98" t="n"/>
      <c r="N34" s="98" t="n"/>
      <c r="O34" s="98" t="n"/>
      <c r="P34" s="98" t="n"/>
      <c r="Q34" s="98" t="n"/>
      <c r="R34" s="109" t="n"/>
      <c r="S34" s="110" t="n"/>
    </row>
    <row r="35" ht="23.25" customHeight="1" s="643">
      <c r="A35" s="98" t="n"/>
      <c r="B35" s="98" t="n"/>
      <c r="C35" s="98" t="n"/>
      <c r="D35" s="98" t="n"/>
      <c r="E35" s="98" t="n"/>
      <c r="F35" s="98" t="n"/>
      <c r="G35" s="210" t="n"/>
      <c r="H35" s="98" t="n"/>
      <c r="I35" s="98" t="n"/>
      <c r="J35" s="98" t="n"/>
      <c r="K35" s="531" t="n"/>
      <c r="L35" s="766" t="n"/>
      <c r="M35" s="766" t="n"/>
      <c r="N35" s="766" t="n"/>
      <c r="O35" s="766" t="n"/>
      <c r="P35" s="766" t="n"/>
      <c r="Q35" s="766" t="n"/>
      <c r="R35" s="766" t="n"/>
      <c r="S35" s="766" t="n"/>
    </row>
    <row r="36">
      <c r="A36" s="98" t="n"/>
      <c r="B36" s="98" t="n"/>
      <c r="C36" s="98" t="n"/>
      <c r="D36" s="98" t="n"/>
      <c r="E36" s="98" t="n"/>
      <c r="F36" s="98" t="n"/>
      <c r="G36" s="98" t="n"/>
      <c r="H36" s="98" t="n"/>
      <c r="I36" s="98" t="n"/>
      <c r="J36" s="98" t="n"/>
      <c r="K36" s="98" t="n"/>
      <c r="L36" s="98" t="n"/>
      <c r="M36" s="98" t="n"/>
      <c r="N36" s="98" t="n"/>
      <c r="O36" s="98" t="n"/>
      <c r="P36" s="98" t="n"/>
      <c r="Q36" s="98" t="n"/>
      <c r="R36" s="98" t="n"/>
      <c r="S36" s="98" t="n"/>
    </row>
    <row r="37">
      <c r="A37" s="98" t="n"/>
      <c r="B37" s="98" t="n"/>
      <c r="C37" s="98" t="n"/>
      <c r="D37" s="98" t="n"/>
      <c r="E37" s="98" t="n"/>
      <c r="F37" s="98" t="n"/>
      <c r="G37" s="98" t="n"/>
      <c r="H37" s="98" t="n"/>
      <c r="I37" s="98" t="n"/>
      <c r="J37" s="98" t="n"/>
      <c r="K37" s="98" t="n"/>
      <c r="L37" s="98" t="n"/>
      <c r="M37" s="98" t="n"/>
      <c r="N37" s="98" t="n"/>
      <c r="O37" s="98" t="n"/>
      <c r="P37" s="98" t="n"/>
      <c r="Q37" s="98" t="n"/>
      <c r="R37" s="98" t="n"/>
      <c r="S37" s="98" t="n"/>
    </row>
    <row r="38">
      <c r="A38" s="98" t="n"/>
      <c r="B38" s="98" t="n"/>
      <c r="C38" s="98" t="n"/>
      <c r="D38" s="98" t="n"/>
      <c r="E38" s="98" t="n"/>
      <c r="F38" s="98" t="n"/>
      <c r="G38" s="98" t="n"/>
      <c r="H38" s="98" t="n"/>
      <c r="I38" s="98" t="n"/>
      <c r="J38" s="98" t="n"/>
      <c r="K38" s="98" t="n"/>
      <c r="L38" s="98" t="n"/>
      <c r="M38" s="98" t="n"/>
      <c r="N38" s="98" t="n"/>
      <c r="O38" s="98" t="n"/>
      <c r="P38" s="98" t="n"/>
      <c r="Q38" s="98" t="n"/>
      <c r="R38" s="98" t="n"/>
      <c r="S38" s="98" t="n"/>
    </row>
    <row r="39">
      <c r="A39" s="98" t="n"/>
      <c r="B39" s="98" t="n"/>
      <c r="C39" s="98" t="n"/>
      <c r="D39" s="98" t="n"/>
      <c r="E39" s="98" t="n"/>
      <c r="F39" s="98" t="n"/>
      <c r="G39" s="98" t="n"/>
      <c r="H39" s="98" t="n"/>
      <c r="I39" s="98" t="n"/>
      <c r="J39" s="98" t="n"/>
      <c r="K39" s="98" t="n"/>
      <c r="L39" s="98" t="n"/>
      <c r="M39" s="98" t="n"/>
      <c r="N39" s="98" t="n"/>
      <c r="O39" s="98" t="n"/>
      <c r="P39" s="98" t="n"/>
      <c r="Q39" s="98" t="n"/>
      <c r="R39" s="98" t="n"/>
      <c r="S39" s="98" t="n"/>
    </row>
    <row r="40">
      <c r="A40" s="98" t="n"/>
      <c r="B40" s="98" t="n"/>
      <c r="C40" s="98" t="n"/>
      <c r="D40" s="98" t="n"/>
      <c r="E40" s="98" t="n"/>
      <c r="F40" s="98" t="n"/>
      <c r="G40" s="98" t="n"/>
      <c r="H40" s="98" t="n"/>
      <c r="I40" s="98" t="n"/>
      <c r="J40" s="98" t="n"/>
      <c r="K40" s="98" t="n"/>
      <c r="L40" s="98" t="n"/>
      <c r="M40" s="98" t="n"/>
      <c r="N40" s="98" t="n"/>
      <c r="O40" s="98" t="n"/>
      <c r="P40" s="98" t="n"/>
      <c r="Q40" s="98" t="n"/>
      <c r="R40" s="98" t="n"/>
      <c r="S40" s="98" t="n"/>
    </row>
  </sheetData>
  <sheetProtection selectLockedCells="0" selectUnlockedCells="0" sheet="1" objects="1" insertRows="1" insertHyperlinks="1" autoFilter="1" scenarios="1" formatColumns="1" deleteColumns="1" insertColumns="1" pivotTables="1" deleteRows="1" formatCells="1" formatRows="1" sort="1"/>
  <mergeCells count="23">
    <mergeCell ref="A18:B18"/>
    <mergeCell ref="C18:S18"/>
    <mergeCell ref="A4:S4"/>
    <mergeCell ref="P6:R6"/>
    <mergeCell ref="B7:E7"/>
    <mergeCell ref="P7:R9"/>
    <mergeCell ref="S7:S9"/>
    <mergeCell ref="A19:B22"/>
    <mergeCell ref="C19:C22"/>
    <mergeCell ref="D20:L22"/>
    <mergeCell ref="M21:M22"/>
    <mergeCell ref="A23:B25"/>
    <mergeCell ref="C23:C25"/>
    <mergeCell ref="D24:I24"/>
    <mergeCell ref="K24:N24"/>
    <mergeCell ref="K35:S35"/>
    <mergeCell ref="A26:B27"/>
    <mergeCell ref="A28:B34"/>
    <mergeCell ref="D28:F28"/>
    <mergeCell ref="L33:P33"/>
    <mergeCell ref="D29:I29"/>
    <mergeCell ref="E31:S31"/>
    <mergeCell ref="J26:K27"/>
  </mergeCells>
  <conditionalFormatting sqref="D29 L33">
    <cfRule type="containsBlanks" priority="2" dxfId="4">
      <formula>LEN(TRIM(D29))=0</formula>
    </cfRule>
  </conditionalFormatting>
  <conditionalFormatting sqref="J26">
    <cfRule type="containsBlanks" priority="1" dxfId="4">
      <formula>LEN(TRIM(J26))=0</formula>
    </cfRule>
  </conditionalFormatting>
  <pageMargins left="0.25" right="0.25" top="0.75" bottom="0.75" header="0.3" footer="0.3"/>
  <pageSetup orientation="portrait" paperSize="9" scale="94" fitToHeight="0" firstPageNumber="0" horizontalDpi="300" verticalDpi="300"/>
</worksheet>
</file>

<file path=xl/worksheets/sheet6.xml><?xml version="1.0" encoding="utf-8"?>
<worksheet xmlns:r="http://schemas.openxmlformats.org/officeDocument/2006/relationships" xmlns="http://schemas.openxmlformats.org/spreadsheetml/2006/main">
  <sheetPr codeName="Sheet3">
    <outlinePr summaryBelow="1" summaryRight="1"/>
    <pageSetUpPr fitToPage="1"/>
  </sheetPr>
  <dimension ref="A1:O172"/>
  <sheetViews>
    <sheetView view="pageBreakPreview" zoomScale="85" zoomScaleNormal="85" zoomScaleSheetLayoutView="85" workbookViewId="0">
      <selection activeCell="L22" sqref="L22"/>
    </sheetView>
  </sheetViews>
  <sheetFormatPr baseColWidth="8" defaultColWidth="9" defaultRowHeight="13.5"/>
  <cols>
    <col width="1.5" customWidth="1" style="34" min="1" max="1"/>
    <col width="9.625" customWidth="1" style="35" min="2" max="2"/>
    <col width="12" customWidth="1" style="34" min="3" max="3"/>
    <col width="8.875" customWidth="1" style="34" min="4" max="4"/>
    <col width="18.375" customWidth="1" style="34" min="5" max="5"/>
    <col width="8.125" customWidth="1" style="34" min="6" max="7"/>
    <col width="7.375" customWidth="1" style="34" min="8" max="8"/>
    <col width="12.125" customWidth="1" style="34" min="9" max="9"/>
    <col width="3.375" customWidth="1" style="34" min="10" max="10"/>
    <col width="11.5" customWidth="1" style="34" min="11" max="11"/>
    <col width="26" customWidth="1" style="34" min="12" max="12"/>
    <col width="2.875" customWidth="1" style="34" min="13" max="13"/>
    <col width="3.875" customWidth="1" style="34" min="14" max="14"/>
    <col width="9" customWidth="1" style="34" min="15" max="16384"/>
  </cols>
  <sheetData>
    <row r="1" ht="15" customHeight="1" s="643">
      <c r="A1" s="36" t="n"/>
      <c r="B1" s="768">
        <f>勤務表!A8</f>
        <v/>
      </c>
    </row>
    <row r="2" ht="39.75" customHeight="1" s="643" thickBot="1">
      <c r="A2" s="36" t="n"/>
      <c r="B2" s="769" t="n"/>
      <c r="C2" s="769" t="n"/>
      <c r="D2" s="769" t="n"/>
      <c r="E2" s="769" t="n"/>
      <c r="F2" s="769" t="n"/>
      <c r="G2" s="769" t="n"/>
      <c r="H2" s="769" t="n"/>
      <c r="I2" s="769" t="n"/>
      <c r="J2" s="769" t="n"/>
      <c r="K2" s="769" t="n"/>
      <c r="L2" s="769" t="n"/>
    </row>
    <row r="3" ht="9.75" customHeight="1" s="643" thickBot="1" thickTop="1">
      <c r="A3" s="36" t="n"/>
      <c r="B3" s="770" t="n"/>
      <c r="C3" s="770" t="n"/>
      <c r="D3" s="770" t="n"/>
      <c r="E3" s="770" t="n"/>
      <c r="F3" s="770" t="n"/>
      <c r="G3" s="770" t="n"/>
      <c r="H3" s="213" t="n"/>
      <c r="I3" s="213" t="n"/>
      <c r="J3" s="213" t="n"/>
      <c r="K3" s="213" t="n"/>
      <c r="L3" s="213" t="n"/>
    </row>
    <row r="4" ht="19.5" customHeight="1" s="643">
      <c r="A4" s="771" t="n"/>
      <c r="B4" s="772" t="n"/>
      <c r="C4" s="773" t="n"/>
      <c r="D4" s="773" t="n"/>
      <c r="E4" s="773" t="n"/>
      <c r="F4" s="40" t="n"/>
      <c r="G4" s="41" t="n"/>
      <c r="H4" s="42" t="n"/>
      <c r="I4" s="270">
        <f>"所属："</f>
        <v/>
      </c>
      <c r="J4" s="774">
        <f>勤務表!$S$4</f>
        <v/>
      </c>
      <c r="K4" s="775" t="n"/>
      <c r="L4" s="776" t="n"/>
    </row>
    <row r="5" ht="19.5" customHeight="1" s="643" thickBot="1">
      <c r="B5" s="43" t="n"/>
      <c r="C5" s="44" t="n"/>
      <c r="D5" s="44" t="n"/>
      <c r="G5" s="211" t="n"/>
      <c r="H5" s="45" t="n"/>
      <c r="I5" s="271">
        <f>"氏名："</f>
        <v/>
      </c>
      <c r="J5" s="777">
        <f>勤務表!$S$5</f>
        <v/>
      </c>
      <c r="K5" s="778" t="n"/>
      <c r="L5" s="779" t="n"/>
    </row>
    <row r="6" ht="17.25" customHeight="1" s="643" thickBot="1">
      <c r="B6" s="780">
        <f>"&lt;&lt;業務交通費入力欄&gt;&gt;"</f>
        <v/>
      </c>
      <c r="C6" s="756" t="n"/>
      <c r="D6" s="756" t="n"/>
      <c r="E6" s="756" t="n"/>
      <c r="H6" s="45" t="n"/>
    </row>
    <row r="7" ht="21" customHeight="1" s="643">
      <c r="A7" s="46" t="n"/>
      <c r="B7" s="585">
        <f>"業務交通費/立替経費"</f>
        <v/>
      </c>
      <c r="C7" s="781" t="n"/>
      <c r="D7" s="781" t="n"/>
      <c r="E7" s="781" t="n"/>
      <c r="F7" s="781" t="n"/>
      <c r="G7" s="781" t="n"/>
      <c r="H7" s="781" t="n"/>
      <c r="I7" s="781" t="n"/>
      <c r="J7" s="781" t="n"/>
      <c r="K7" s="781" t="n"/>
      <c r="L7" s="782" t="n"/>
    </row>
    <row r="8" ht="18" customFormat="1" customHeight="1" s="46">
      <c r="B8" s="272">
        <f>"日付"</f>
        <v/>
      </c>
      <c r="C8" s="586">
        <f>"行き先"</f>
        <v/>
      </c>
      <c r="D8" s="783" t="n"/>
      <c r="E8" s="273">
        <f>"用件"</f>
        <v/>
      </c>
      <c r="F8" s="274">
        <f>"金額"</f>
        <v/>
      </c>
      <c r="G8" s="587">
        <f>"使用機関"</f>
        <v/>
      </c>
      <c r="H8" s="784" t="n"/>
      <c r="I8" s="588">
        <f>"移　　動　　経　　路"</f>
        <v/>
      </c>
      <c r="J8" s="785" t="n"/>
      <c r="K8" s="783" t="n"/>
      <c r="L8" s="275">
        <f>"備考"</f>
        <v/>
      </c>
    </row>
    <row r="9" ht="15" customFormat="1" customHeight="1" s="46">
      <c r="A9" s="47" t="n"/>
      <c r="B9" s="786" t="n">
        <v>44256</v>
      </c>
      <c r="C9" s="563" t="inlineStr">
        <is>
          <t>池袋</t>
        </is>
      </c>
      <c r="D9" s="783" t="n"/>
      <c r="E9" s="563" t="inlineStr">
        <is>
          <t>出勤</t>
        </is>
      </c>
      <c r="F9" s="787" t="n">
        <v>400</v>
      </c>
      <c r="G9" s="563" t="inlineStr">
        <is>
          <t>バス</t>
        </is>
      </c>
      <c r="H9" s="783" t="n"/>
      <c r="I9" s="563" t="inlineStr">
        <is>
          <t>道場</t>
        </is>
      </c>
      <c r="J9" s="277">
        <f>IF(I9&lt;&gt;"","～","")</f>
        <v/>
      </c>
      <c r="K9" s="563" t="inlineStr">
        <is>
          <t>ひばりが丘</t>
        </is>
      </c>
      <c r="L9" s="51" t="inlineStr">
        <is>
          <t>往復</t>
        </is>
      </c>
    </row>
    <row r="10" ht="15" customHeight="1" s="643">
      <c r="A10" s="47" t="n"/>
      <c r="B10" s="786" t="n">
        <v>44256</v>
      </c>
      <c r="C10" s="563" t="inlineStr">
        <is>
          <t>池袋</t>
        </is>
      </c>
      <c r="D10" s="783" t="n"/>
      <c r="E10" s="563" t="inlineStr">
        <is>
          <t>出勤</t>
        </is>
      </c>
      <c r="F10" s="787" t="n">
        <v>560</v>
      </c>
      <c r="G10" s="563" t="inlineStr">
        <is>
          <t>電車</t>
        </is>
      </c>
      <c r="H10" s="783" t="n"/>
      <c r="I10" s="563" t="inlineStr">
        <is>
          <t>ひばりが丘</t>
        </is>
      </c>
      <c r="J10" s="277">
        <f>IF(I10&lt;&gt;"","～","")</f>
        <v/>
      </c>
      <c r="K10" s="563" t="inlineStr">
        <is>
          <t>池袋</t>
        </is>
      </c>
      <c r="L10" s="51" t="inlineStr">
        <is>
          <t>往復</t>
        </is>
      </c>
    </row>
    <row r="11" ht="15" customHeight="1" s="643">
      <c r="A11" s="47" t="n"/>
      <c r="B11" s="786" t="n">
        <v>44260</v>
      </c>
      <c r="C11" s="563" t="inlineStr">
        <is>
          <t>池袋</t>
        </is>
      </c>
      <c r="D11" s="783" t="n"/>
      <c r="E11" s="563" t="inlineStr">
        <is>
          <t>出勤</t>
        </is>
      </c>
      <c r="F11" s="787" t="n">
        <v>400</v>
      </c>
      <c r="G11" s="563" t="inlineStr">
        <is>
          <t>バス</t>
        </is>
      </c>
      <c r="H11" s="783" t="n"/>
      <c r="I11" s="563" t="inlineStr">
        <is>
          <t>道場</t>
        </is>
      </c>
      <c r="J11" s="277">
        <f>IF(I11&lt;&gt;"","～","")</f>
        <v/>
      </c>
      <c r="K11" s="563" t="inlineStr">
        <is>
          <t>ひばりが丘</t>
        </is>
      </c>
      <c r="L11" s="157" t="inlineStr">
        <is>
          <t>往復</t>
        </is>
      </c>
      <c r="O11" s="276">
        <f>"※備考が往復となっていない場合は片道料金で表示されます"</f>
        <v/>
      </c>
    </row>
    <row r="12" ht="15" customHeight="1" s="643">
      <c r="A12" s="47" t="n"/>
      <c r="B12" s="786" t="n">
        <v>44260</v>
      </c>
      <c r="C12" s="563" t="inlineStr">
        <is>
          <t>池袋</t>
        </is>
      </c>
      <c r="D12" s="783" t="n"/>
      <c r="E12" s="563" t="inlineStr">
        <is>
          <t>出勤</t>
        </is>
      </c>
      <c r="F12" s="787" t="n">
        <v>560</v>
      </c>
      <c r="G12" s="563" t="inlineStr">
        <is>
          <t>電車</t>
        </is>
      </c>
      <c r="H12" s="783" t="n"/>
      <c r="I12" s="563" t="inlineStr">
        <is>
          <t>ひばりが丘</t>
        </is>
      </c>
      <c r="J12" s="277">
        <f>IF(I12&lt;&gt;"","～","")</f>
        <v/>
      </c>
      <c r="K12" s="563" t="inlineStr">
        <is>
          <t>池袋</t>
        </is>
      </c>
      <c r="L12" s="157" t="inlineStr">
        <is>
          <t>往復</t>
        </is>
      </c>
      <c r="O12" s="276">
        <f>"※金額が入力済みの場合検索はスキップされます"</f>
        <v/>
      </c>
    </row>
    <row r="13" ht="15" customHeight="1" s="643">
      <c r="A13" s="47" t="n"/>
      <c r="B13" s="786" t="n">
        <v>44264</v>
      </c>
      <c r="C13" s="563" t="inlineStr">
        <is>
          <t>池袋</t>
        </is>
      </c>
      <c r="D13" s="783" t="n"/>
      <c r="E13" s="563" t="inlineStr">
        <is>
          <t>出勤</t>
        </is>
      </c>
      <c r="F13" s="787" t="n">
        <v>400</v>
      </c>
      <c r="G13" s="563" t="inlineStr">
        <is>
          <t>バス</t>
        </is>
      </c>
      <c r="H13" s="783" t="n"/>
      <c r="I13" s="563" t="inlineStr">
        <is>
          <t>道場</t>
        </is>
      </c>
      <c r="J13" s="277">
        <f>IF(I13&lt;&gt;"","～","")</f>
        <v/>
      </c>
      <c r="K13" s="563" t="inlineStr">
        <is>
          <t>ひばりが丘</t>
        </is>
      </c>
      <c r="L13" s="157" t="inlineStr">
        <is>
          <t>往復</t>
        </is>
      </c>
      <c r="O13" s="276">
        <f>"※出発駅(I列)が空白となった時点で検索は終了されます"</f>
        <v/>
      </c>
    </row>
    <row r="14" ht="15" customHeight="1" s="643">
      <c r="A14" s="47" t="n"/>
      <c r="B14" s="786" t="n">
        <v>44264</v>
      </c>
      <c r="C14" s="563" t="inlineStr">
        <is>
          <t>池袋</t>
        </is>
      </c>
      <c r="D14" s="783" t="n"/>
      <c r="E14" s="563" t="inlineStr">
        <is>
          <t>出勤</t>
        </is>
      </c>
      <c r="F14" s="787" t="n">
        <v>560</v>
      </c>
      <c r="G14" s="563" t="inlineStr">
        <is>
          <t>電車</t>
        </is>
      </c>
      <c r="H14" s="783" t="n"/>
      <c r="I14" s="563" t="inlineStr">
        <is>
          <t>ひばりが丘</t>
        </is>
      </c>
      <c r="J14" s="277">
        <f>IF(I14&lt;&gt;"","～","")</f>
        <v/>
      </c>
      <c r="K14" s="563" t="inlineStr">
        <is>
          <t>池袋</t>
        </is>
      </c>
      <c r="L14" s="51" t="inlineStr">
        <is>
          <t>往復</t>
        </is>
      </c>
      <c r="O14" s="276">
        <f>"※金額の初期値は最安値の金額、リスト内は到着順、乗換回数順で検索した時の金額です"</f>
        <v/>
      </c>
    </row>
    <row r="15" ht="15" customHeight="1" s="643">
      <c r="A15" s="47" t="n"/>
      <c r="B15" s="786" t="n">
        <v>44270</v>
      </c>
      <c r="C15" s="563" t="inlineStr">
        <is>
          <t>池袋</t>
        </is>
      </c>
      <c r="D15" s="783" t="n"/>
      <c r="E15" s="563" t="inlineStr">
        <is>
          <t>出勤</t>
        </is>
      </c>
      <c r="F15" s="787" t="n">
        <v>400</v>
      </c>
      <c r="G15" s="563" t="inlineStr">
        <is>
          <t>バス</t>
        </is>
      </c>
      <c r="H15" s="783" t="n"/>
      <c r="I15" s="563" t="inlineStr">
        <is>
          <t>道場</t>
        </is>
      </c>
      <c r="J15" s="277">
        <f>IF(I15&lt;&gt;"","～","")</f>
        <v/>
      </c>
      <c r="K15" s="563" t="inlineStr">
        <is>
          <t>ひばりが丘</t>
        </is>
      </c>
      <c r="L15" s="51" t="inlineStr">
        <is>
          <t>往復</t>
        </is>
      </c>
      <c r="O15" s="276">
        <f>"※セルの入力規制がかかっているので、金額は値で張り付けてください"</f>
        <v/>
      </c>
    </row>
    <row r="16" ht="15" customHeight="1" s="643">
      <c r="A16" s="47" t="n"/>
      <c r="B16" s="786" t="n">
        <v>44270</v>
      </c>
      <c r="C16" s="563" t="inlineStr">
        <is>
          <t>池袋</t>
        </is>
      </c>
      <c r="D16" s="783" t="n"/>
      <c r="E16" s="563" t="inlineStr">
        <is>
          <t>出勤</t>
        </is>
      </c>
      <c r="F16" s="787" t="n">
        <v>560</v>
      </c>
      <c r="G16" s="563" t="inlineStr">
        <is>
          <t>電車</t>
        </is>
      </c>
      <c r="H16" s="783" t="n"/>
      <c r="I16" s="563" t="inlineStr">
        <is>
          <t>ひばりが丘</t>
        </is>
      </c>
      <c r="J16" s="277">
        <f>IF(I16&lt;&gt;"","～","")</f>
        <v/>
      </c>
      <c r="K16" s="563" t="inlineStr">
        <is>
          <t>池袋</t>
        </is>
      </c>
      <c r="L16" s="563" t="inlineStr">
        <is>
          <t>往復</t>
        </is>
      </c>
    </row>
    <row r="17" ht="15" customHeight="1" s="643">
      <c r="A17" s="47" t="n"/>
      <c r="B17" s="786" t="n">
        <v>44277</v>
      </c>
      <c r="C17" s="563" t="inlineStr">
        <is>
          <t>池袋</t>
        </is>
      </c>
      <c r="D17" s="783" t="n"/>
      <c r="E17" s="563" t="inlineStr">
        <is>
          <t>出勤</t>
        </is>
      </c>
      <c r="F17" s="787" t="n">
        <v>400</v>
      </c>
      <c r="G17" s="563" t="inlineStr">
        <is>
          <t>バス</t>
        </is>
      </c>
      <c r="H17" s="783" t="n"/>
      <c r="I17" s="563" t="inlineStr">
        <is>
          <t>道場</t>
        </is>
      </c>
      <c r="J17" s="277">
        <f>IF(I17&lt;&gt;"","～","")</f>
        <v/>
      </c>
      <c r="K17" s="563" t="inlineStr">
        <is>
          <t>ひばりが丘</t>
        </is>
      </c>
      <c r="L17" s="563" t="inlineStr">
        <is>
          <t>往復</t>
        </is>
      </c>
    </row>
    <row r="18" ht="15" customHeight="1" s="643">
      <c r="A18" s="47" t="n"/>
      <c r="B18" s="786" t="n">
        <v>44277</v>
      </c>
      <c r="C18" s="563" t="inlineStr">
        <is>
          <t>池袋</t>
        </is>
      </c>
      <c r="D18" s="783" t="n"/>
      <c r="E18" s="563" t="inlineStr">
        <is>
          <t>出勤</t>
        </is>
      </c>
      <c r="F18" s="787" t="n">
        <v>560</v>
      </c>
      <c r="G18" s="563" t="inlineStr">
        <is>
          <t>電車</t>
        </is>
      </c>
      <c r="H18" s="783" t="n"/>
      <c r="I18" s="563" t="inlineStr">
        <is>
          <t>ひばりが丘</t>
        </is>
      </c>
      <c r="J18" s="277">
        <f>IF(I18&lt;&gt;"","～","")</f>
        <v/>
      </c>
      <c r="K18" s="563" t="inlineStr">
        <is>
          <t>池袋</t>
        </is>
      </c>
      <c r="L18" s="51" t="inlineStr">
        <is>
          <t>往復</t>
        </is>
      </c>
    </row>
    <row r="19" ht="15" customHeight="1" s="643">
      <c r="A19" s="47" t="n"/>
      <c r="B19" s="786" t="n"/>
      <c r="C19" s="563" t="n"/>
      <c r="D19" s="783" t="n"/>
      <c r="E19" s="563" t="n"/>
      <c r="F19" s="788" t="n"/>
      <c r="G19" s="563" t="n"/>
      <c r="H19" s="783" t="n"/>
      <c r="I19" s="563" t="n"/>
      <c r="J19" s="277">
        <f>IF(I19&lt;&gt;"","～","")</f>
        <v/>
      </c>
      <c r="K19" s="563" t="n"/>
      <c r="L19" s="51" t="n"/>
    </row>
    <row r="20" ht="15" customHeight="1" s="643">
      <c r="A20" s="47" t="n"/>
      <c r="B20" s="786" t="n"/>
      <c r="C20" s="563" t="n"/>
      <c r="D20" s="783" t="n"/>
      <c r="E20" s="563" t="n"/>
      <c r="F20" s="788" t="n"/>
      <c r="G20" s="563" t="n"/>
      <c r="H20" s="783" t="n"/>
      <c r="I20" s="563" t="n"/>
      <c r="J20" s="277">
        <f>IF(I20&lt;&gt;"","～","")</f>
        <v/>
      </c>
      <c r="K20" s="563" t="n"/>
      <c r="L20" s="51" t="n"/>
    </row>
    <row r="21" ht="15" customHeight="1" s="643">
      <c r="A21" s="47" t="n"/>
      <c r="B21" s="786" t="n"/>
      <c r="C21" s="58" t="n"/>
      <c r="D21" s="789" t="n"/>
      <c r="E21" s="577" t="n"/>
      <c r="F21" s="790" t="n"/>
      <c r="G21" s="563" t="n"/>
      <c r="H21" s="783" t="n"/>
      <c r="I21" s="577" t="n"/>
      <c r="J21" s="277">
        <f>IF(I21&lt;&gt;"","～","")</f>
        <v/>
      </c>
      <c r="K21" s="58" t="n"/>
      <c r="L21" s="59" t="n"/>
    </row>
    <row r="22" ht="15" customHeight="1" s="643">
      <c r="A22" s="47" t="n"/>
      <c r="B22" s="786" t="n"/>
      <c r="C22" s="58" t="n"/>
      <c r="D22" s="789" t="n"/>
      <c r="E22" s="577" t="n"/>
      <c r="F22" s="790" t="n"/>
      <c r="G22" s="563" t="n"/>
      <c r="H22" s="783" t="n"/>
      <c r="I22" s="577" t="n"/>
      <c r="J22" s="277">
        <f>IF(I22&lt;&gt;"","～","")</f>
        <v/>
      </c>
      <c r="K22" s="58" t="n"/>
      <c r="L22" s="59" t="n"/>
    </row>
    <row r="23" ht="15" customHeight="1" s="643">
      <c r="A23" s="47" t="n"/>
      <c r="B23" s="786" t="n"/>
      <c r="C23" s="58" t="n"/>
      <c r="D23" s="789" t="n"/>
      <c r="E23" s="577" t="n"/>
      <c r="F23" s="790" t="n"/>
      <c r="G23" s="563" t="n"/>
      <c r="H23" s="783" t="n"/>
      <c r="I23" s="577" t="n"/>
      <c r="J23" s="277">
        <f>IF(I23&lt;&gt;"","～","")</f>
        <v/>
      </c>
      <c r="K23" s="58" t="n"/>
      <c r="L23" s="59" t="n"/>
    </row>
    <row r="24" ht="15" customHeight="1" s="643">
      <c r="A24" s="47" t="n"/>
      <c r="B24" s="786" t="n"/>
      <c r="C24" s="58" t="n"/>
      <c r="D24" s="789" t="n"/>
      <c r="E24" s="577" t="n"/>
      <c r="F24" s="790" t="n"/>
      <c r="G24" s="563" t="n"/>
      <c r="H24" s="783" t="n"/>
      <c r="I24" s="577" t="n"/>
      <c r="J24" s="277">
        <f>IF(I24&lt;&gt;"","～","")</f>
        <v/>
      </c>
      <c r="K24" s="58" t="n"/>
      <c r="L24" s="59" t="n"/>
    </row>
    <row r="25" ht="15" customHeight="1" s="643">
      <c r="A25" s="47" t="n"/>
      <c r="B25" s="786" t="n"/>
      <c r="C25" s="791" t="n"/>
      <c r="D25" s="792" t="n"/>
      <c r="E25" s="577" t="n"/>
      <c r="F25" s="790" t="n"/>
      <c r="G25" s="563" t="n"/>
      <c r="H25" s="783" t="n"/>
      <c r="I25" s="577" t="n"/>
      <c r="J25" s="277">
        <f>IF(I25&lt;&gt;"","～","")</f>
        <v/>
      </c>
      <c r="K25" s="58" t="n"/>
      <c r="L25" s="59" t="n"/>
    </row>
    <row r="26" ht="15" customHeight="1" s="643">
      <c r="A26" s="47" t="n"/>
      <c r="B26" s="786" t="n"/>
      <c r="C26" s="793" t="n"/>
      <c r="D26" s="789" t="n"/>
      <c r="E26" s="60" t="n"/>
      <c r="F26" s="794" t="n"/>
      <c r="G26" s="563" t="n"/>
      <c r="H26" s="783" t="n"/>
      <c r="I26" s="60" t="n"/>
      <c r="J26" s="277">
        <f>IF(I26&lt;&gt;"","～","")</f>
        <v/>
      </c>
      <c r="K26" s="62" t="n"/>
      <c r="L26" s="63" t="n"/>
    </row>
    <row r="27" ht="15" customHeight="1" s="643">
      <c r="A27" s="47" t="n"/>
      <c r="B27" s="786" t="n"/>
      <c r="C27" s="795" t="n"/>
      <c r="D27" s="796" t="n"/>
      <c r="E27" s="60" t="n"/>
      <c r="F27" s="794" t="n"/>
      <c r="G27" s="563" t="n"/>
      <c r="H27" s="783" t="n"/>
      <c r="I27" s="60" t="n"/>
      <c r="J27" s="277">
        <f>IF(I27&lt;&gt;"","～","")</f>
        <v/>
      </c>
      <c r="K27" s="62" t="n"/>
      <c r="L27" s="63" t="n"/>
    </row>
    <row r="28" ht="14.25" customHeight="1" s="643">
      <c r="A28" s="47" t="n"/>
      <c r="B28" s="786" t="n"/>
      <c r="C28" s="563" t="n"/>
      <c r="D28" s="783" t="n"/>
      <c r="E28" s="563" t="n"/>
      <c r="F28" s="788" t="n"/>
      <c r="G28" s="563" t="n"/>
      <c r="H28" s="783" t="n"/>
      <c r="I28" s="563" t="n"/>
      <c r="J28" s="277">
        <f>IF(I28&lt;&gt;"","～","")</f>
        <v/>
      </c>
      <c r="K28" s="563" t="n"/>
      <c r="L28" s="51" t="n"/>
    </row>
    <row r="29" ht="15" customHeight="1" s="643">
      <c r="A29" s="47" t="n"/>
      <c r="B29" s="786" t="n"/>
      <c r="C29" s="58" t="n"/>
      <c r="D29" s="789" t="n"/>
      <c r="E29" s="577" t="n"/>
      <c r="F29" s="790" t="n"/>
      <c r="G29" s="797" t="n"/>
      <c r="H29" s="798" t="n"/>
      <c r="I29" s="577" t="n"/>
      <c r="J29" s="277">
        <f>IF(I29&lt;&gt;"","～","")</f>
        <v/>
      </c>
      <c r="K29" s="58" t="n"/>
      <c r="L29" s="59" t="n"/>
    </row>
    <row r="30" ht="15" customHeight="1" s="643">
      <c r="A30" s="47" t="n"/>
      <c r="B30" s="786" t="n"/>
      <c r="C30" s="563" t="n"/>
      <c r="D30" s="783" t="n"/>
      <c r="E30" s="563" t="n"/>
      <c r="F30" s="788" t="n"/>
      <c r="G30" s="797" t="n"/>
      <c r="H30" s="798" t="n"/>
      <c r="I30" s="563" t="n"/>
      <c r="J30" s="277">
        <f>IF(I30&lt;&gt;"","～","")</f>
        <v/>
      </c>
      <c r="K30" s="563" t="n"/>
      <c r="L30" s="51" t="n"/>
    </row>
    <row r="31" ht="15" customHeight="1" s="643">
      <c r="A31" s="47" t="n"/>
      <c r="B31" s="786" t="n"/>
      <c r="C31" s="563" t="n"/>
      <c r="D31" s="783" t="n"/>
      <c r="E31" s="563" t="n"/>
      <c r="F31" s="788" t="n"/>
      <c r="G31" s="797" t="n"/>
      <c r="H31" s="798" t="n"/>
      <c r="I31" s="563" t="n"/>
      <c r="J31" s="277">
        <f>IF(I31&lt;&gt;"","～","")</f>
        <v/>
      </c>
      <c r="K31" s="563" t="n"/>
      <c r="L31" s="51" t="n"/>
    </row>
    <row r="32" ht="15" customHeight="1" s="643">
      <c r="A32" s="47" t="n"/>
      <c r="B32" s="786" t="n"/>
      <c r="C32" s="563" t="n"/>
      <c r="D32" s="783" t="n"/>
      <c r="E32" s="563" t="n"/>
      <c r="F32" s="788" t="n"/>
      <c r="G32" s="797" t="n"/>
      <c r="H32" s="798" t="n"/>
      <c r="I32" s="563" t="n"/>
      <c r="J32" s="277">
        <f>IF(I32&lt;&gt;"","～","")</f>
        <v/>
      </c>
      <c r="K32" s="563" t="n"/>
      <c r="L32" s="51" t="n"/>
    </row>
    <row r="33" ht="15" customHeight="1" s="643">
      <c r="A33" s="47" t="n"/>
      <c r="B33" s="786" t="n"/>
      <c r="C33" s="563" t="n"/>
      <c r="D33" s="783" t="n"/>
      <c r="E33" s="563" t="n"/>
      <c r="F33" s="788" t="n"/>
      <c r="G33" s="797" t="n"/>
      <c r="H33" s="798" t="n"/>
      <c r="I33" s="563" t="n"/>
      <c r="J33" s="277">
        <f>IF(I33&lt;&gt;"","～","")</f>
        <v/>
      </c>
      <c r="K33" s="563" t="n"/>
      <c r="L33" s="51" t="n"/>
    </row>
    <row r="34" ht="15" customHeight="1" s="643">
      <c r="A34" s="47" t="n"/>
      <c r="B34" s="786" t="n"/>
      <c r="C34" s="563" t="n"/>
      <c r="D34" s="783" t="n"/>
      <c r="E34" s="563" t="n"/>
      <c r="F34" s="788" t="n"/>
      <c r="G34" s="797" t="n"/>
      <c r="H34" s="798" t="n"/>
      <c r="I34" s="563" t="n"/>
      <c r="J34" s="277">
        <f>IF(I34&lt;&gt;"","～","")</f>
        <v/>
      </c>
      <c r="K34" s="563" t="n"/>
      <c r="L34" s="51" t="n"/>
    </row>
    <row r="35" ht="15" customHeight="1" s="643">
      <c r="A35" s="47" t="n"/>
      <c r="B35" s="786" t="n"/>
      <c r="C35" s="563" t="n"/>
      <c r="D35" s="783" t="n"/>
      <c r="E35" s="563" t="n"/>
      <c r="F35" s="788" t="n"/>
      <c r="G35" s="797" t="n"/>
      <c r="H35" s="798" t="n"/>
      <c r="I35" s="563" t="n"/>
      <c r="J35" s="277">
        <f>IF(I35&lt;&gt;"","～","")</f>
        <v/>
      </c>
      <c r="K35" s="563" t="n"/>
      <c r="L35" s="51" t="n"/>
    </row>
    <row r="36" ht="15" customHeight="1" s="643">
      <c r="A36" s="47" t="n"/>
      <c r="B36" s="786" t="n"/>
      <c r="C36" s="563" t="n"/>
      <c r="D36" s="783" t="n"/>
      <c r="E36" s="563" t="n"/>
      <c r="F36" s="788" t="n"/>
      <c r="G36" s="797" t="n"/>
      <c r="H36" s="798" t="n"/>
      <c r="I36" s="563" t="n"/>
      <c r="J36" s="277">
        <f>IF(I36&lt;&gt;"","～","")</f>
        <v/>
      </c>
      <c r="K36" s="563" t="n"/>
      <c r="L36" s="51" t="n"/>
    </row>
    <row r="37" ht="15" customHeight="1" s="643">
      <c r="A37" s="47" t="n"/>
      <c r="B37" s="786" t="n"/>
      <c r="C37" s="563" t="n"/>
      <c r="D37" s="783" t="n"/>
      <c r="E37" s="563" t="n"/>
      <c r="F37" s="788" t="n"/>
      <c r="G37" s="797" t="n"/>
      <c r="H37" s="798" t="n"/>
      <c r="I37" s="563" t="n"/>
      <c r="J37" s="277">
        <f>IF(I37&lt;&gt;"","～","")</f>
        <v/>
      </c>
      <c r="K37" s="563" t="n"/>
      <c r="L37" s="51" t="n"/>
    </row>
    <row r="38" ht="15" customHeight="1" s="643">
      <c r="A38" s="47" t="n"/>
      <c r="B38" s="786" t="n"/>
      <c r="C38" s="563" t="n"/>
      <c r="D38" s="783" t="n"/>
      <c r="E38" s="563" t="n"/>
      <c r="F38" s="788" t="n"/>
      <c r="G38" s="563" t="n"/>
      <c r="H38" s="783" t="n"/>
      <c r="I38" s="563" t="n"/>
      <c r="J38" s="277">
        <f>IF(I38&lt;&gt;"","～","")</f>
        <v/>
      </c>
      <c r="K38" s="563" t="n"/>
      <c r="L38" s="51" t="n"/>
    </row>
    <row r="39" ht="15" customHeight="1" s="643">
      <c r="A39" s="47" t="n"/>
      <c r="B39" s="786" t="n"/>
      <c r="C39" s="563" t="n"/>
      <c r="D39" s="783" t="n"/>
      <c r="E39" s="563" t="n"/>
      <c r="F39" s="788" t="n"/>
      <c r="G39" s="563" t="n"/>
      <c r="H39" s="783" t="n"/>
      <c r="I39" s="563" t="n"/>
      <c r="J39" s="277">
        <f>IF(I39&lt;&gt;"","～","")</f>
        <v/>
      </c>
      <c r="K39" s="563" t="n"/>
      <c r="L39" s="51" t="n"/>
    </row>
    <row r="40" ht="15" customHeight="1" s="643">
      <c r="A40" s="47" t="n"/>
      <c r="B40" s="786" t="n"/>
      <c r="C40" s="563" t="n"/>
      <c r="D40" s="783" t="n"/>
      <c r="E40" s="563" t="n"/>
      <c r="F40" s="788" t="n"/>
      <c r="G40" s="563" t="n"/>
      <c r="H40" s="783" t="n"/>
      <c r="I40" s="563" t="n"/>
      <c r="J40" s="277">
        <f>IF(I40&lt;&gt;"","～","")</f>
        <v/>
      </c>
      <c r="K40" s="563" t="n"/>
      <c r="L40" s="51" t="n"/>
    </row>
    <row r="41" ht="15" customHeight="1" s="643">
      <c r="A41" s="47" t="n"/>
      <c r="B41" s="786" t="n"/>
      <c r="C41" s="563" t="n"/>
      <c r="D41" s="783" t="n"/>
      <c r="E41" s="563" t="n"/>
      <c r="F41" s="788" t="n"/>
      <c r="G41" s="563" t="n"/>
      <c r="H41" s="783" t="n"/>
      <c r="I41" s="563" t="n"/>
      <c r="J41" s="277">
        <f>IF(I41&lt;&gt;"","～","")</f>
        <v/>
      </c>
      <c r="K41" s="563" t="n"/>
      <c r="L41" s="51" t="n"/>
    </row>
    <row r="42" ht="15" customHeight="1" s="643">
      <c r="A42" s="47" t="n"/>
      <c r="B42" s="786" t="n"/>
      <c r="C42" s="563" t="n"/>
      <c r="D42" s="783" t="n"/>
      <c r="E42" s="563" t="n"/>
      <c r="F42" s="788" t="n"/>
      <c r="G42" s="563" t="n"/>
      <c r="H42" s="783" t="n"/>
      <c r="I42" s="563" t="n"/>
      <c r="J42" s="277">
        <f>IF(I42&lt;&gt;"","～","")</f>
        <v/>
      </c>
      <c r="K42" s="563" t="n"/>
      <c r="L42" s="51" t="n"/>
    </row>
    <row r="43" ht="15" customHeight="1" s="643">
      <c r="A43" s="47" t="n"/>
      <c r="B43" s="786" t="n"/>
      <c r="C43" s="563" t="n"/>
      <c r="D43" s="783" t="n"/>
      <c r="E43" s="563" t="n"/>
      <c r="F43" s="788" t="n"/>
      <c r="G43" s="563" t="n"/>
      <c r="H43" s="783" t="n"/>
      <c r="I43" s="563" t="n"/>
      <c r="J43" s="277">
        <f>IF(I43&lt;&gt;"","～","")</f>
        <v/>
      </c>
      <c r="K43" s="563" t="n"/>
      <c r="L43" s="51" t="n"/>
    </row>
    <row r="44" ht="15" customHeight="1" s="643">
      <c r="A44" s="52" t="n"/>
      <c r="B44" s="786" t="n"/>
      <c r="C44" s="563" t="n"/>
      <c r="D44" s="783" t="n"/>
      <c r="E44" s="563" t="n"/>
      <c r="F44" s="788" t="n"/>
      <c r="G44" s="563" t="n"/>
      <c r="H44" s="783" t="n"/>
      <c r="I44" s="563" t="n"/>
      <c r="J44" s="277">
        <f>IF(I44&lt;&gt;"","～","")</f>
        <v/>
      </c>
      <c r="K44" s="563" t="n"/>
      <c r="L44" s="51" t="n"/>
    </row>
    <row r="45" ht="15" customHeight="1" s="643">
      <c r="A45" s="52" t="n"/>
      <c r="B45" s="786" t="n"/>
      <c r="C45" s="563" t="n"/>
      <c r="D45" s="783" t="n"/>
      <c r="E45" s="563" t="n"/>
      <c r="F45" s="788" t="n"/>
      <c r="G45" s="563" t="n"/>
      <c r="H45" s="783" t="n"/>
      <c r="I45" s="563" t="n"/>
      <c r="J45" s="277">
        <f>IF(I45&lt;&gt;"","～","")</f>
        <v/>
      </c>
      <c r="K45" s="563" t="n"/>
      <c r="L45" s="51" t="n"/>
    </row>
    <row r="46" ht="15" customHeight="1" s="643">
      <c r="A46" s="52" t="n"/>
      <c r="B46" s="786" t="n"/>
      <c r="C46" s="563" t="n"/>
      <c r="D46" s="783" t="n"/>
      <c r="E46" s="563" t="n"/>
      <c r="F46" s="788" t="n"/>
      <c r="G46" s="563" t="n"/>
      <c r="H46" s="783" t="n"/>
      <c r="I46" s="563" t="n"/>
      <c r="J46" s="277">
        <f>IF(I46&lt;&gt;"","～","")</f>
        <v/>
      </c>
      <c r="K46" s="563" t="n"/>
      <c r="L46" s="51" t="n"/>
    </row>
    <row r="47" ht="15" customHeight="1" s="643">
      <c r="A47" s="52" t="n"/>
      <c r="B47" s="786" t="n"/>
      <c r="C47" s="563" t="n"/>
      <c r="D47" s="783" t="n"/>
      <c r="E47" s="563" t="n"/>
      <c r="F47" s="788" t="n"/>
      <c r="G47" s="563" t="n"/>
      <c r="H47" s="783" t="n"/>
      <c r="I47" s="563" t="n"/>
      <c r="J47" s="277">
        <f>IF(I47&lt;&gt;"","～","")</f>
        <v/>
      </c>
      <c r="K47" s="563" t="n"/>
      <c r="L47" s="51" t="n"/>
    </row>
    <row r="48" ht="15" customHeight="1" s="643">
      <c r="A48" s="52" t="n"/>
      <c r="B48" s="786" t="n"/>
      <c r="C48" s="563" t="n"/>
      <c r="D48" s="783" t="n"/>
      <c r="E48" s="563" t="n"/>
      <c r="F48" s="788" t="n"/>
      <c r="G48" s="563" t="n"/>
      <c r="H48" s="783" t="n"/>
      <c r="I48" s="563" t="n"/>
      <c r="J48" s="277">
        <f>IF(I48&lt;&gt;"","～","")</f>
        <v/>
      </c>
      <c r="K48" s="563" t="n"/>
      <c r="L48" s="51" t="n"/>
    </row>
    <row r="49" ht="15" customHeight="1" s="643">
      <c r="A49" s="52" t="n"/>
      <c r="B49" s="786" t="n"/>
      <c r="C49" s="563" t="n"/>
      <c r="D49" s="783" t="n"/>
      <c r="E49" s="563" t="n"/>
      <c r="F49" s="788" t="n"/>
      <c r="G49" s="563" t="n"/>
      <c r="H49" s="783" t="n"/>
      <c r="I49" s="563" t="n"/>
      <c r="J49" s="277">
        <f>IF(I49&lt;&gt;"","～","")</f>
        <v/>
      </c>
      <c r="K49" s="563" t="n"/>
      <c r="L49" s="51" t="n"/>
    </row>
    <row r="50" ht="15" customHeight="1" s="643">
      <c r="A50" s="52" t="n"/>
      <c r="B50" s="786" t="n"/>
      <c r="C50" s="563" t="n"/>
      <c r="D50" s="783" t="n"/>
      <c r="E50" s="563" t="n"/>
      <c r="F50" s="788" t="n"/>
      <c r="G50" s="563" t="n"/>
      <c r="H50" s="783" t="n"/>
      <c r="I50" s="563" t="n"/>
      <c r="J50" s="277">
        <f>IF(I50&lt;&gt;"","～","")</f>
        <v/>
      </c>
      <c r="K50" s="563" t="n"/>
      <c r="L50" s="51" t="n"/>
    </row>
    <row r="51" ht="15" customHeight="1" s="643">
      <c r="A51" s="52" t="n"/>
      <c r="B51" s="786" t="n"/>
      <c r="C51" s="563" t="n"/>
      <c r="D51" s="783" t="n"/>
      <c r="E51" s="563" t="n"/>
      <c r="F51" s="788" t="n"/>
      <c r="G51" s="563" t="n"/>
      <c r="H51" s="783" t="n"/>
      <c r="I51" s="563" t="n"/>
      <c r="J51" s="277">
        <f>IF(I51&lt;&gt;"","～","")</f>
        <v/>
      </c>
      <c r="K51" s="563" t="n"/>
      <c r="L51" s="51" t="n"/>
    </row>
    <row r="52" ht="15" customHeight="1" s="643">
      <c r="A52" s="52" t="n"/>
      <c r="B52" s="786" t="n"/>
      <c r="C52" s="563" t="n"/>
      <c r="D52" s="783" t="n"/>
      <c r="E52" s="563" t="n"/>
      <c r="F52" s="788" t="n"/>
      <c r="G52" s="563" t="n"/>
      <c r="H52" s="783" t="n"/>
      <c r="I52" s="563" t="n"/>
      <c r="J52" s="277">
        <f>IF(I52&lt;&gt;"","～","")</f>
        <v/>
      </c>
      <c r="K52" s="563" t="n"/>
      <c r="L52" s="51" t="n"/>
    </row>
    <row r="53" ht="15" customHeight="1" s="643">
      <c r="A53" s="52" t="n"/>
      <c r="B53" s="786" t="n"/>
      <c r="C53" s="563" t="n"/>
      <c r="D53" s="783" t="n"/>
      <c r="E53" s="563" t="n"/>
      <c r="F53" s="788" t="n"/>
      <c r="G53" s="563" t="n"/>
      <c r="H53" s="783" t="n"/>
      <c r="I53" s="563" t="n"/>
      <c r="J53" s="277">
        <f>IF(I53&lt;&gt;"","～","")</f>
        <v/>
      </c>
      <c r="K53" s="563" t="n"/>
      <c r="L53" s="51" t="n"/>
    </row>
    <row r="54" ht="15" customHeight="1" s="643">
      <c r="A54" s="52" t="n"/>
      <c r="B54" s="786" t="n"/>
      <c r="C54" s="563" t="n"/>
      <c r="D54" s="783" t="n"/>
      <c r="E54" s="563" t="n"/>
      <c r="F54" s="788" t="n"/>
      <c r="G54" s="563" t="n"/>
      <c r="H54" s="783" t="n"/>
      <c r="I54" s="563" t="n"/>
      <c r="J54" s="277">
        <f>IF(I54&lt;&gt;"","～","")</f>
        <v/>
      </c>
      <c r="K54" s="563" t="n"/>
      <c r="L54" s="51" t="n"/>
    </row>
    <row r="55" ht="15" customHeight="1" s="643">
      <c r="A55" s="52" t="n"/>
      <c r="B55" s="786" t="n"/>
      <c r="C55" s="563" t="n"/>
      <c r="D55" s="783" t="n"/>
      <c r="E55" s="563" t="n"/>
      <c r="F55" s="788" t="n"/>
      <c r="G55" s="563" t="n"/>
      <c r="H55" s="783" t="n"/>
      <c r="I55" s="563" t="n"/>
      <c r="J55" s="277">
        <f>IF(I55&lt;&gt;"","～","")</f>
        <v/>
      </c>
      <c r="K55" s="563" t="n"/>
      <c r="L55" s="51" t="n"/>
    </row>
    <row r="56" ht="15" customHeight="1" s="643">
      <c r="A56" s="52" t="n"/>
      <c r="B56" s="786" t="n"/>
      <c r="C56" s="563" t="n"/>
      <c r="D56" s="783" t="n"/>
      <c r="E56" s="563" t="n"/>
      <c r="F56" s="788" t="n"/>
      <c r="G56" s="563" t="n"/>
      <c r="H56" s="783" t="n"/>
      <c r="I56" s="563" t="n"/>
      <c r="J56" s="277">
        <f>IF(I56&lt;&gt;"","～","")</f>
        <v/>
      </c>
      <c r="K56" s="563" t="n"/>
      <c r="L56" s="51" t="n"/>
    </row>
    <row r="57" ht="15" customHeight="1" s="643">
      <c r="A57" s="52" t="n"/>
      <c r="B57" s="786" t="n"/>
      <c r="C57" s="563" t="n"/>
      <c r="D57" s="783" t="n"/>
      <c r="E57" s="563" t="n"/>
      <c r="F57" s="788" t="n"/>
      <c r="G57" s="563" t="n"/>
      <c r="H57" s="783" t="n"/>
      <c r="I57" s="563" t="n"/>
      <c r="J57" s="277">
        <f>IF(I57&lt;&gt;"","～","")</f>
        <v/>
      </c>
      <c r="K57" s="563" t="n"/>
      <c r="L57" s="51" t="n"/>
    </row>
    <row r="58" ht="15" customHeight="1" s="643">
      <c r="A58" s="52" t="n"/>
      <c r="B58" s="786" t="n"/>
      <c r="C58" s="563" t="n"/>
      <c r="D58" s="783" t="n"/>
      <c r="E58" s="563" t="n"/>
      <c r="F58" s="788" t="n"/>
      <c r="G58" s="563" t="n"/>
      <c r="H58" s="783" t="n"/>
      <c r="I58" s="563" t="n"/>
      <c r="J58" s="277">
        <f>IF(I58&lt;&gt;"","～","")</f>
        <v/>
      </c>
      <c r="K58" s="563" t="n"/>
      <c r="L58" s="51" t="n"/>
    </row>
    <row r="59" ht="15" customHeight="1" s="643">
      <c r="A59" s="52" t="n"/>
      <c r="B59" s="786" t="n"/>
      <c r="C59" s="563" t="n"/>
      <c r="D59" s="783" t="n"/>
      <c r="E59" s="563" t="n"/>
      <c r="F59" s="788" t="n"/>
      <c r="G59" s="563" t="n"/>
      <c r="H59" s="783" t="n"/>
      <c r="I59" s="563" t="n"/>
      <c r="J59" s="277">
        <f>IF(I59&lt;&gt;"","～","")</f>
        <v/>
      </c>
      <c r="K59" s="563" t="n"/>
      <c r="L59" s="51" t="n"/>
    </row>
    <row r="60" ht="15" customHeight="1" s="643">
      <c r="A60" s="52" t="n"/>
      <c r="B60" s="786" t="n"/>
      <c r="C60" s="563" t="n"/>
      <c r="D60" s="783" t="n"/>
      <c r="E60" s="563" t="n"/>
      <c r="F60" s="788" t="n"/>
      <c r="G60" s="563" t="n"/>
      <c r="H60" s="783" t="n"/>
      <c r="I60" s="563" t="n"/>
      <c r="J60" s="277">
        <f>IF(I60&lt;&gt;"","～","")</f>
        <v/>
      </c>
      <c r="K60" s="563" t="n"/>
      <c r="L60" s="51" t="n"/>
    </row>
    <row r="61" ht="15" customHeight="1" s="643">
      <c r="A61" s="52" t="n"/>
      <c r="B61" s="786" t="n"/>
      <c r="C61" s="563" t="n"/>
      <c r="D61" s="783" t="n"/>
      <c r="E61" s="563" t="n"/>
      <c r="F61" s="788" t="n"/>
      <c r="G61" s="563" t="n"/>
      <c r="H61" s="783" t="n"/>
      <c r="I61" s="563" t="n"/>
      <c r="J61" s="277">
        <f>IF(I61&lt;&gt;"","～","")</f>
        <v/>
      </c>
      <c r="K61" s="563" t="n"/>
      <c r="L61" s="51" t="n"/>
    </row>
    <row r="62" ht="15" customHeight="1" s="643">
      <c r="A62" s="52" t="n"/>
      <c r="B62" s="786" t="n"/>
      <c r="C62" s="563" t="n"/>
      <c r="D62" s="783" t="n"/>
      <c r="E62" s="563" t="n"/>
      <c r="F62" s="788" t="n"/>
      <c r="G62" s="563" t="n"/>
      <c r="H62" s="783" t="n"/>
      <c r="I62" s="563" t="n"/>
      <c r="J62" s="277">
        <f>IF(I62&lt;&gt;"","～","")</f>
        <v/>
      </c>
      <c r="K62" s="563" t="n"/>
      <c r="L62" s="51" t="n"/>
    </row>
    <row r="63" ht="15" customHeight="1" s="643">
      <c r="A63" s="52" t="n"/>
      <c r="B63" s="786" t="n"/>
      <c r="C63" s="563" t="n"/>
      <c r="D63" s="783" t="n"/>
      <c r="E63" s="563" t="n"/>
      <c r="F63" s="788" t="n"/>
      <c r="G63" s="563" t="n"/>
      <c r="H63" s="783" t="n"/>
      <c r="I63" s="563" t="n"/>
      <c r="J63" s="277">
        <f>IF(I63&lt;&gt;"","～","")</f>
        <v/>
      </c>
      <c r="K63" s="563" t="n"/>
      <c r="L63" s="51" t="n"/>
    </row>
    <row r="64" ht="15" customHeight="1" s="643">
      <c r="A64" s="52" t="n"/>
      <c r="B64" s="786" t="n"/>
      <c r="C64" s="563" t="n"/>
      <c r="D64" s="783" t="n"/>
      <c r="E64" s="563" t="n"/>
      <c r="F64" s="788" t="n"/>
      <c r="G64" s="563" t="n"/>
      <c r="H64" s="783" t="n"/>
      <c r="I64" s="563" t="n"/>
      <c r="J64" s="277">
        <f>IF(I64&lt;&gt;"","～","")</f>
        <v/>
      </c>
      <c r="K64" s="563" t="n"/>
      <c r="L64" s="51" t="n"/>
    </row>
    <row r="65" ht="15" customHeight="1" s="643">
      <c r="A65" s="52" t="n"/>
      <c r="B65" s="786" t="n"/>
      <c r="C65" s="563" t="n"/>
      <c r="D65" s="783" t="n"/>
      <c r="E65" s="563" t="n"/>
      <c r="F65" s="788" t="n"/>
      <c r="G65" s="563" t="n"/>
      <c r="H65" s="783" t="n"/>
      <c r="I65" s="563" t="n"/>
      <c r="J65" s="277">
        <f>IF(I65&lt;&gt;"","～","")</f>
        <v/>
      </c>
      <c r="K65" s="563" t="n"/>
      <c r="L65" s="51" t="n"/>
    </row>
    <row r="66" ht="15" customHeight="1" s="643">
      <c r="A66" s="52" t="n"/>
      <c r="B66" s="786" t="n"/>
      <c r="C66" s="563" t="n"/>
      <c r="D66" s="783" t="n"/>
      <c r="E66" s="563" t="n"/>
      <c r="F66" s="788" t="n"/>
      <c r="G66" s="563" t="n"/>
      <c r="H66" s="783" t="n"/>
      <c r="I66" s="563" t="n"/>
      <c r="J66" s="277">
        <f>IF(I66&lt;&gt;"","～","")</f>
        <v/>
      </c>
      <c r="K66" s="563" t="n"/>
      <c r="L66" s="51" t="n"/>
    </row>
    <row r="67" ht="15" customHeight="1" s="643">
      <c r="A67" s="52" t="n"/>
      <c r="B67" s="786" t="n"/>
      <c r="C67" s="563" t="n"/>
      <c r="D67" s="783" t="n"/>
      <c r="E67" s="563" t="n"/>
      <c r="F67" s="788" t="n"/>
      <c r="G67" s="563" t="n"/>
      <c r="H67" s="783" t="n"/>
      <c r="I67" s="563" t="n"/>
      <c r="J67" s="277">
        <f>IF(I67&lt;&gt;"","～","")</f>
        <v/>
      </c>
      <c r="K67" s="563" t="n"/>
      <c r="L67" s="51" t="n"/>
    </row>
    <row r="68" ht="15" customHeight="1" s="643">
      <c r="A68" s="52" t="n"/>
      <c r="B68" s="786" t="n"/>
      <c r="C68" s="563" t="n"/>
      <c r="D68" s="783" t="n"/>
      <c r="E68" s="563" t="n"/>
      <c r="F68" s="788" t="n"/>
      <c r="G68" s="563" t="n"/>
      <c r="H68" s="783" t="n"/>
      <c r="I68" s="563" t="n"/>
      <c r="J68" s="277">
        <f>IF(I68&lt;&gt;"","～","")</f>
        <v/>
      </c>
      <c r="K68" s="563" t="n"/>
      <c r="L68" s="51" t="n"/>
    </row>
    <row r="69" ht="15" customHeight="1" s="643">
      <c r="A69" s="52" t="n"/>
      <c r="B69" s="786" t="n"/>
      <c r="C69" s="563" t="n"/>
      <c r="D69" s="783" t="n"/>
      <c r="E69" s="563" t="n"/>
      <c r="F69" s="788" t="n"/>
      <c r="G69" s="563" t="n"/>
      <c r="H69" s="783" t="n"/>
      <c r="I69" s="563" t="n"/>
      <c r="J69" s="277">
        <f>IF(I69&lt;&gt;"","～","")</f>
        <v/>
      </c>
      <c r="K69" s="563" t="n"/>
      <c r="L69" s="51" t="n"/>
    </row>
    <row r="70" ht="15" customHeight="1" s="643">
      <c r="A70" s="52" t="n"/>
      <c r="B70" s="786" t="n"/>
      <c r="C70" s="563" t="n"/>
      <c r="D70" s="783" t="n"/>
      <c r="E70" s="563" t="n"/>
      <c r="F70" s="788" t="n"/>
      <c r="G70" s="563" t="n"/>
      <c r="H70" s="783" t="n"/>
      <c r="I70" s="563" t="n"/>
      <c r="J70" s="277">
        <f>IF(I70&lt;&gt;"","～","")</f>
        <v/>
      </c>
      <c r="K70" s="563" t="n"/>
      <c r="L70" s="51" t="n"/>
    </row>
    <row r="71" ht="15" customHeight="1" s="643">
      <c r="A71" s="52" t="n"/>
      <c r="B71" s="786" t="n"/>
      <c r="C71" s="563" t="n"/>
      <c r="D71" s="783" t="n"/>
      <c r="E71" s="563" t="n"/>
      <c r="F71" s="788" t="n"/>
      <c r="G71" s="563" t="n"/>
      <c r="H71" s="783" t="n"/>
      <c r="I71" s="563" t="n"/>
      <c r="J71" s="277">
        <f>IF(I71&lt;&gt;"","～","")</f>
        <v/>
      </c>
      <c r="K71" s="563" t="n"/>
      <c r="L71" s="51" t="n"/>
    </row>
    <row r="72" ht="15" customHeight="1" s="643">
      <c r="A72" s="52" t="n"/>
      <c r="B72" s="786" t="n"/>
      <c r="C72" s="563" t="n"/>
      <c r="D72" s="783" t="n"/>
      <c r="E72" s="563" t="n"/>
      <c r="F72" s="788" t="n"/>
      <c r="G72" s="563" t="n"/>
      <c r="H72" s="783" t="n"/>
      <c r="I72" s="563" t="n"/>
      <c r="J72" s="277">
        <f>IF(I72&lt;&gt;"","～","")</f>
        <v/>
      </c>
      <c r="K72" s="563" t="n"/>
      <c r="L72" s="51" t="n"/>
    </row>
    <row r="73" ht="15" customHeight="1" s="643">
      <c r="A73" s="52" t="n"/>
      <c r="B73" s="786" t="n"/>
      <c r="C73" s="563" t="n"/>
      <c r="D73" s="783" t="n"/>
      <c r="E73" s="563" t="n"/>
      <c r="F73" s="788" t="n"/>
      <c r="G73" s="563" t="n"/>
      <c r="H73" s="783" t="n"/>
      <c r="I73" s="563" t="n"/>
      <c r="J73" s="277">
        <f>IF(I73&lt;&gt;"","～","")</f>
        <v/>
      </c>
      <c r="K73" s="563" t="n"/>
      <c r="L73" s="51" t="n"/>
    </row>
    <row r="74" ht="15" customHeight="1" s="643">
      <c r="A74" s="52" t="n"/>
      <c r="B74" s="786" t="n"/>
      <c r="C74" s="563" t="n"/>
      <c r="D74" s="783" t="n"/>
      <c r="E74" s="563" t="n"/>
      <c r="F74" s="788" t="n"/>
      <c r="G74" s="563" t="n"/>
      <c r="H74" s="783" t="n"/>
      <c r="I74" s="563" t="n"/>
      <c r="J74" s="277">
        <f>IF(I74&lt;&gt;"","～","")</f>
        <v/>
      </c>
      <c r="K74" s="563" t="n"/>
      <c r="L74" s="51" t="n"/>
    </row>
    <row r="75" ht="15" customHeight="1" s="643">
      <c r="A75" s="52" t="n"/>
      <c r="B75" s="786" t="n"/>
      <c r="C75" s="563" t="n"/>
      <c r="D75" s="783" t="n"/>
      <c r="E75" s="563" t="n"/>
      <c r="F75" s="788" t="n"/>
      <c r="G75" s="563" t="n"/>
      <c r="H75" s="783" t="n"/>
      <c r="I75" s="563" t="n"/>
      <c r="J75" s="277">
        <f>IF(I75&lt;&gt;"","～","")</f>
        <v/>
      </c>
      <c r="K75" s="563" t="n"/>
      <c r="L75" s="51" t="n"/>
    </row>
    <row r="76" ht="15" customHeight="1" s="643">
      <c r="A76" s="52" t="n"/>
      <c r="B76" s="786" t="n"/>
      <c r="C76" s="563" t="n"/>
      <c r="D76" s="783" t="n"/>
      <c r="E76" s="563" t="n"/>
      <c r="F76" s="788" t="n"/>
      <c r="G76" s="563" t="n"/>
      <c r="H76" s="783" t="n"/>
      <c r="I76" s="563" t="n"/>
      <c r="J76" s="277">
        <f>IF(I76&lt;&gt;"","～","")</f>
        <v/>
      </c>
      <c r="K76" s="563" t="n"/>
      <c r="L76" s="51" t="n"/>
    </row>
    <row r="77" ht="15" customHeight="1" s="643">
      <c r="A77" s="52" t="n"/>
      <c r="B77" s="786" t="n"/>
      <c r="C77" s="563" t="n"/>
      <c r="D77" s="783" t="n"/>
      <c r="E77" s="563" t="n"/>
      <c r="F77" s="788" t="n"/>
      <c r="G77" s="563" t="n"/>
      <c r="H77" s="783" t="n"/>
      <c r="I77" s="563" t="n"/>
      <c r="J77" s="277">
        <f>IF(I77&lt;&gt;"","～","")</f>
        <v/>
      </c>
      <c r="K77" s="563" t="n"/>
      <c r="L77" s="51" t="n"/>
    </row>
    <row r="78" ht="14.25" customHeight="1" s="643" thickBot="1">
      <c r="A78" s="35" t="n"/>
      <c r="C78" s="35" t="n"/>
      <c r="D78" s="35" t="n"/>
      <c r="E78" s="53" t="n"/>
      <c r="F78" s="799" t="n"/>
      <c r="G78" s="800" t="n"/>
    </row>
    <row r="79" ht="15.75" customHeight="1" s="643" thickBot="1">
      <c r="B79" s="565">
        <f>"承認印"</f>
        <v/>
      </c>
      <c r="C79" s="566" t="n"/>
      <c r="D79" s="766" t="n"/>
      <c r="E79" s="766" t="n"/>
      <c r="F79" s="758" t="n"/>
      <c r="I79" s="567">
        <f>"業務立替交通費　計"</f>
        <v/>
      </c>
      <c r="J79" s="766" t="n"/>
      <c r="K79" s="801" t="n"/>
      <c r="L79" s="802">
        <f>SUM(F7:F77)</f>
        <v/>
      </c>
    </row>
    <row r="80" ht="14.25" customHeight="1" s="643" thickBot="1">
      <c r="B80" s="803" t="n"/>
      <c r="C80" s="804" t="n"/>
      <c r="D80" s="756" t="n"/>
      <c r="E80" s="756" t="n"/>
      <c r="F80" s="716" t="n"/>
      <c r="I80" s="755" t="n"/>
      <c r="J80" s="756" t="n"/>
      <c r="K80" s="805" t="n"/>
      <c r="L80" s="806" t="n"/>
    </row>
    <row r="153">
      <c r="C153" s="52" t="n"/>
    </row>
    <row r="154">
      <c r="A154" s="564" t="n"/>
      <c r="B154" s="785" t="n"/>
      <c r="C154" s="785" t="n"/>
      <c r="D154" s="785" t="n"/>
      <c r="E154" s="785" t="n"/>
      <c r="F154" s="785" t="n"/>
      <c r="G154" s="785" t="n"/>
      <c r="H154" s="785" t="n"/>
      <c r="I154" s="785" t="n"/>
      <c r="J154" s="785" t="n"/>
      <c r="K154" s="785" t="n"/>
      <c r="L154" s="784" t="n"/>
    </row>
    <row r="155">
      <c r="A155" s="564" t="n"/>
      <c r="B155" s="564" t="n"/>
      <c r="C155" s="564" t="n"/>
      <c r="D155" s="564" t="n"/>
      <c r="E155" s="564" t="n"/>
      <c r="F155" s="564" t="n"/>
      <c r="G155" s="564" t="n"/>
      <c r="H155" s="564" t="n"/>
      <c r="I155" s="564" t="n"/>
      <c r="J155" s="564" t="n"/>
      <c r="K155" s="564" t="n"/>
      <c r="L155" s="564" t="n"/>
    </row>
    <row r="156">
      <c r="A156" s="564" t="n"/>
      <c r="B156" s="564" t="n"/>
      <c r="C156" s="564" t="n"/>
      <c r="D156" s="564" t="n"/>
      <c r="E156" s="564" t="n"/>
      <c r="F156" s="564" t="n"/>
      <c r="G156" s="564" t="n"/>
      <c r="H156" s="564" t="n"/>
      <c r="I156" s="564" t="n"/>
      <c r="J156" s="564" t="n"/>
      <c r="K156" s="564" t="n"/>
      <c r="L156" s="564" t="n"/>
    </row>
    <row r="157">
      <c r="A157" s="564" t="n"/>
      <c r="B157" s="564" t="n"/>
      <c r="C157" s="564" t="n"/>
      <c r="D157" s="564" t="n"/>
      <c r="E157" s="564" t="n"/>
      <c r="F157" s="564" t="n"/>
      <c r="G157" s="564" t="n"/>
      <c r="H157" s="564" t="n"/>
      <c r="I157" s="564" t="n"/>
      <c r="J157" s="564" t="n"/>
      <c r="K157" s="564" t="n"/>
      <c r="L157" s="564" t="n"/>
    </row>
    <row r="158">
      <c r="A158" s="564" t="n"/>
      <c r="B158" s="564" t="n"/>
      <c r="C158" s="564" t="n"/>
      <c r="D158" s="564" t="n"/>
      <c r="E158" s="564" t="n"/>
      <c r="F158" s="564" t="n"/>
      <c r="G158" s="564" t="n"/>
      <c r="H158" s="564" t="n"/>
      <c r="I158" s="564" t="n"/>
      <c r="J158" s="564" t="n"/>
      <c r="K158" s="564" t="n"/>
      <c r="L158" s="564" t="n"/>
    </row>
    <row r="159">
      <c r="A159" s="564" t="n"/>
      <c r="B159" s="564" t="n"/>
      <c r="C159" s="564" t="n"/>
      <c r="D159" s="564" t="n"/>
      <c r="E159" s="564" t="n"/>
      <c r="F159" s="564" t="n"/>
      <c r="G159" s="564" t="n"/>
      <c r="H159" s="564" t="n"/>
      <c r="I159" s="564" t="n"/>
      <c r="J159" s="564" t="n"/>
      <c r="K159" s="564" t="n"/>
      <c r="L159" s="564" t="n"/>
    </row>
    <row r="160">
      <c r="A160" s="564" t="n"/>
      <c r="B160" s="564" t="n"/>
      <c r="C160" s="564" t="n"/>
      <c r="D160" s="564" t="n"/>
      <c r="E160" s="564" t="n"/>
      <c r="F160" s="564" t="n"/>
      <c r="G160" s="564" t="n"/>
      <c r="H160" s="564" t="n"/>
      <c r="I160" s="564" t="n"/>
      <c r="J160" s="564" t="n"/>
      <c r="K160" s="564" t="n"/>
      <c r="L160" s="564" t="n"/>
    </row>
    <row r="161">
      <c r="A161" s="564" t="n"/>
      <c r="B161" s="564" t="n"/>
      <c r="C161" s="564" t="n"/>
      <c r="D161" s="564" t="n"/>
      <c r="E161" s="564" t="n"/>
      <c r="F161" s="564" t="n"/>
      <c r="G161" s="564" t="n"/>
      <c r="H161" s="564" t="n"/>
      <c r="I161" s="564" t="n"/>
      <c r="J161" s="564" t="n"/>
      <c r="K161" s="564" t="n"/>
      <c r="L161" s="564" t="n"/>
    </row>
    <row r="162">
      <c r="A162" s="564" t="n"/>
      <c r="B162" s="564" t="n"/>
      <c r="C162" s="564" t="n"/>
      <c r="D162" s="564" t="n"/>
      <c r="E162" s="564" t="n"/>
      <c r="F162" s="564" t="n"/>
      <c r="G162" s="564" t="n"/>
      <c r="H162" s="564" t="n"/>
      <c r="I162" s="564" t="n"/>
      <c r="J162" s="564" t="n"/>
      <c r="K162" s="564" t="n"/>
      <c r="L162" s="564" t="n"/>
    </row>
    <row r="163">
      <c r="A163" s="564" t="n"/>
      <c r="B163" s="564" t="n"/>
      <c r="C163" s="564" t="n"/>
      <c r="D163" s="564" t="n"/>
      <c r="E163" s="564" t="n"/>
      <c r="F163" s="564" t="n"/>
      <c r="G163" s="564" t="n"/>
      <c r="H163" s="564" t="n"/>
      <c r="I163" s="564" t="n"/>
      <c r="J163" s="564" t="n"/>
      <c r="K163" s="564" t="n"/>
      <c r="L163" s="564" t="n"/>
    </row>
    <row r="164">
      <c r="A164" s="564" t="n"/>
      <c r="B164" s="564" t="n"/>
      <c r="C164" s="564" t="n"/>
      <c r="D164" s="564" t="n"/>
      <c r="E164" s="564" t="n"/>
      <c r="F164" s="564" t="n"/>
      <c r="G164" s="564" t="n"/>
      <c r="H164" s="564" t="n"/>
      <c r="I164" s="564" t="n"/>
      <c r="J164" s="564" t="n"/>
      <c r="K164" s="564" t="n"/>
      <c r="L164" s="564" t="n"/>
    </row>
    <row r="165">
      <c r="A165" s="564" t="n"/>
      <c r="B165" s="564" t="n"/>
      <c r="C165" s="564" t="n"/>
      <c r="D165" s="564" t="n"/>
      <c r="E165" s="564" t="n"/>
      <c r="F165" s="564" t="n"/>
      <c r="G165" s="564" t="n"/>
      <c r="H165" s="564" t="n"/>
      <c r="I165" s="564" t="n"/>
      <c r="J165" s="564" t="n"/>
      <c r="K165" s="564" t="n"/>
      <c r="L165" s="564" t="n"/>
    </row>
    <row r="166">
      <c r="A166" s="564" t="n"/>
      <c r="B166" s="564" t="n"/>
      <c r="C166" s="564" t="n"/>
      <c r="D166" s="564" t="n"/>
      <c r="E166" s="564" t="n"/>
      <c r="F166" s="564" t="n"/>
      <c r="G166" s="564" t="n"/>
      <c r="H166" s="564" t="n"/>
      <c r="I166" s="564" t="n"/>
      <c r="J166" s="564" t="n"/>
      <c r="K166" s="564" t="n"/>
      <c r="L166" s="564" t="n"/>
    </row>
    <row r="167">
      <c r="A167" s="564" t="n"/>
      <c r="B167" s="564" t="n"/>
      <c r="C167" s="564" t="n"/>
      <c r="D167" s="564" t="n"/>
      <c r="E167" s="564" t="n"/>
      <c r="F167" s="564" t="n"/>
      <c r="G167" s="564" t="n"/>
      <c r="H167" s="564" t="n"/>
      <c r="I167" s="564" t="n"/>
      <c r="J167" s="564" t="n"/>
      <c r="K167" s="564" t="n"/>
      <c r="L167" s="564" t="n"/>
    </row>
    <row r="168">
      <c r="A168" s="564" t="n"/>
      <c r="B168" s="564" t="n"/>
      <c r="C168" s="564" t="n"/>
      <c r="D168" s="564" t="n"/>
      <c r="E168" s="564" t="n"/>
      <c r="F168" s="564" t="n"/>
      <c r="G168" s="564" t="n"/>
      <c r="H168" s="564" t="n"/>
      <c r="I168" s="564" t="n"/>
      <c r="J168" s="564" t="n"/>
      <c r="K168" s="564" t="n"/>
      <c r="L168" s="564" t="n"/>
    </row>
    <row r="169">
      <c r="A169" s="564" t="n"/>
      <c r="B169" s="564" t="n"/>
      <c r="C169" s="564" t="n"/>
      <c r="D169" s="564" t="n"/>
      <c r="E169" s="564" t="n"/>
      <c r="F169" s="564" t="n"/>
      <c r="G169" s="564" t="n"/>
      <c r="H169" s="564" t="n"/>
      <c r="I169" s="564" t="n"/>
      <c r="J169" s="564" t="n"/>
      <c r="K169" s="564" t="n"/>
      <c r="L169" s="564" t="n"/>
    </row>
    <row r="170">
      <c r="A170" s="564" t="n"/>
      <c r="B170" s="564" t="n"/>
      <c r="C170" s="564" t="n"/>
      <c r="D170" s="564" t="n"/>
      <c r="E170" s="564" t="n"/>
      <c r="F170" s="564" t="n"/>
      <c r="G170" s="564" t="n"/>
      <c r="H170" s="564" t="n"/>
      <c r="I170" s="564" t="n"/>
      <c r="J170" s="564" t="n"/>
      <c r="K170" s="564" t="n"/>
      <c r="L170" s="564" t="n"/>
    </row>
    <row r="171">
      <c r="A171" s="564" t="n"/>
      <c r="B171" s="564" t="n"/>
      <c r="C171" s="564" t="n"/>
      <c r="D171" s="564" t="n"/>
      <c r="E171" s="564" t="n"/>
      <c r="F171" s="564" t="n"/>
      <c r="G171" s="564" t="n"/>
      <c r="H171" s="564" t="n"/>
      <c r="I171" s="564" t="n"/>
      <c r="J171" s="564" t="n"/>
      <c r="K171" s="564" t="n"/>
      <c r="L171" s="564" t="n"/>
    </row>
    <row r="172">
      <c r="A172" s="564" t="n"/>
      <c r="B172" s="564" t="n"/>
      <c r="C172" s="564" t="n"/>
      <c r="D172" s="564" t="n"/>
      <c r="E172" s="564" t="n"/>
      <c r="F172" s="564" t="n"/>
      <c r="G172" s="564" t="n"/>
      <c r="H172" s="564" t="n"/>
      <c r="I172" s="564" t="n"/>
      <c r="J172" s="564" t="n"/>
      <c r="K172" s="564" t="n"/>
      <c r="L172" s="564" t="n"/>
    </row>
  </sheetData>
  <sheetProtection selectLockedCells="0" selectUnlockedCells="0" sheet="1" objects="1" insertRows="1" insertHyperlinks="1" autoFilter="1" scenarios="1" formatColumns="1" deleteColumns="1" insertColumns="1" pivotTables="1" deleteRows="1" formatCells="1" formatRows="1" sort="1"/>
  <mergeCells count="151">
    <mergeCell ref="J4:L4"/>
    <mergeCell ref="J5:L5"/>
    <mergeCell ref="B6:E6"/>
    <mergeCell ref="B7:L7"/>
    <mergeCell ref="C8:D8"/>
    <mergeCell ref="G8:H8"/>
    <mergeCell ref="I8:K8"/>
    <mergeCell ref="B1:L2"/>
    <mergeCell ref="C9:D9"/>
    <mergeCell ref="G9:H9"/>
    <mergeCell ref="C10:D10"/>
    <mergeCell ref="G10:H10"/>
    <mergeCell ref="C11:D11"/>
    <mergeCell ref="G11:H11"/>
    <mergeCell ref="C12:D12"/>
    <mergeCell ref="G12:H12"/>
    <mergeCell ref="C13:D13"/>
    <mergeCell ref="G13:H13"/>
    <mergeCell ref="C14:D14"/>
    <mergeCell ref="G14:H14"/>
    <mergeCell ref="C15:D15"/>
    <mergeCell ref="G15:H15"/>
    <mergeCell ref="C16:D16"/>
    <mergeCell ref="G16:H16"/>
    <mergeCell ref="C19:D19"/>
    <mergeCell ref="G19:H19"/>
    <mergeCell ref="C20:D20"/>
    <mergeCell ref="G20:H20"/>
    <mergeCell ref="C21:D21"/>
    <mergeCell ref="G21:H21"/>
    <mergeCell ref="C17:D17"/>
    <mergeCell ref="G17:H17"/>
    <mergeCell ref="C18:D18"/>
    <mergeCell ref="G18:H18"/>
    <mergeCell ref="C22:D22"/>
    <mergeCell ref="G22:H22"/>
    <mergeCell ref="C23:D23"/>
    <mergeCell ref="G23:H23"/>
    <mergeCell ref="C24:D24"/>
    <mergeCell ref="G24:H24"/>
    <mergeCell ref="C25:D25"/>
    <mergeCell ref="G25:H25"/>
    <mergeCell ref="C26:D26"/>
    <mergeCell ref="G26:H26"/>
    <mergeCell ref="C27:D27"/>
    <mergeCell ref="G27:H27"/>
    <mergeCell ref="C28:D28"/>
    <mergeCell ref="G28:H28"/>
    <mergeCell ref="C29:D29"/>
    <mergeCell ref="G29:H29"/>
    <mergeCell ref="C30:D30"/>
    <mergeCell ref="G30:H30"/>
    <mergeCell ref="C31:D31"/>
    <mergeCell ref="G31:H31"/>
    <mergeCell ref="C32:D32"/>
    <mergeCell ref="G32:H32"/>
    <mergeCell ref="C33:D33"/>
    <mergeCell ref="G33:H33"/>
    <mergeCell ref="C34:D34"/>
    <mergeCell ref="G34:H34"/>
    <mergeCell ref="C35:D35"/>
    <mergeCell ref="G35:H35"/>
    <mergeCell ref="C36:D36"/>
    <mergeCell ref="G36:H36"/>
    <mergeCell ref="C37:D37"/>
    <mergeCell ref="G37:H37"/>
    <mergeCell ref="C38:D38"/>
    <mergeCell ref="G38:H38"/>
    <mergeCell ref="C39:D39"/>
    <mergeCell ref="G39:H39"/>
    <mergeCell ref="C40:D40"/>
    <mergeCell ref="G40:H40"/>
    <mergeCell ref="C41:D41"/>
    <mergeCell ref="G41:H41"/>
    <mergeCell ref="C42:D42"/>
    <mergeCell ref="G42:H42"/>
    <mergeCell ref="C43:D43"/>
    <mergeCell ref="G43:H43"/>
    <mergeCell ref="C44:D44"/>
    <mergeCell ref="G44:H44"/>
    <mergeCell ref="C45:D45"/>
    <mergeCell ref="G45:H45"/>
    <mergeCell ref="C46:D46"/>
    <mergeCell ref="G46:H46"/>
    <mergeCell ref="C47:D47"/>
    <mergeCell ref="G47:H47"/>
    <mergeCell ref="C48:D48"/>
    <mergeCell ref="G48:H48"/>
    <mergeCell ref="C49:D49"/>
    <mergeCell ref="G49:H49"/>
    <mergeCell ref="C50:D50"/>
    <mergeCell ref="G50:H50"/>
    <mergeCell ref="C51:D51"/>
    <mergeCell ref="G51:H51"/>
    <mergeCell ref="C52:D52"/>
    <mergeCell ref="G52:H52"/>
    <mergeCell ref="C53:D53"/>
    <mergeCell ref="G53:H53"/>
    <mergeCell ref="C54:D54"/>
    <mergeCell ref="G54:H54"/>
    <mergeCell ref="C55:D55"/>
    <mergeCell ref="G55:H55"/>
    <mergeCell ref="C56:D56"/>
    <mergeCell ref="G56:H56"/>
    <mergeCell ref="C57:D57"/>
    <mergeCell ref="G57:H57"/>
    <mergeCell ref="C58:D58"/>
    <mergeCell ref="G58:H58"/>
    <mergeCell ref="C59:D59"/>
    <mergeCell ref="G59:H59"/>
    <mergeCell ref="C60:D60"/>
    <mergeCell ref="G60:H60"/>
    <mergeCell ref="C61:D61"/>
    <mergeCell ref="G61:H61"/>
    <mergeCell ref="C62:D62"/>
    <mergeCell ref="G62:H62"/>
    <mergeCell ref="C63:D63"/>
    <mergeCell ref="G63:H63"/>
    <mergeCell ref="C64:D64"/>
    <mergeCell ref="G64:H64"/>
    <mergeCell ref="C65:D65"/>
    <mergeCell ref="G65:H65"/>
    <mergeCell ref="G69:H69"/>
    <mergeCell ref="C66:D66"/>
    <mergeCell ref="G66:H66"/>
    <mergeCell ref="C67:D67"/>
    <mergeCell ref="G67:H67"/>
    <mergeCell ref="C68:D68"/>
    <mergeCell ref="G68:H68"/>
    <mergeCell ref="C69:D69"/>
    <mergeCell ref="C75:D75"/>
    <mergeCell ref="G75:H75"/>
    <mergeCell ref="C70:D70"/>
    <mergeCell ref="G70:H70"/>
    <mergeCell ref="C71:D71"/>
    <mergeCell ref="G71:H71"/>
    <mergeCell ref="C72:D72"/>
    <mergeCell ref="G72:H72"/>
    <mergeCell ref="A154:L154"/>
    <mergeCell ref="C76:D76"/>
    <mergeCell ref="G76:H76"/>
    <mergeCell ref="C77:D77"/>
    <mergeCell ref="G77:H77"/>
    <mergeCell ref="B79:B80"/>
    <mergeCell ref="C79:F80"/>
    <mergeCell ref="I79:K80"/>
    <mergeCell ref="L79:L80"/>
    <mergeCell ref="C73:D73"/>
    <mergeCell ref="G73:H73"/>
    <mergeCell ref="C74:D74"/>
    <mergeCell ref="G74:H74"/>
  </mergeCells>
  <conditionalFormatting sqref="L9:L15 L18:L77">
    <cfRule type="expression" priority="3" dxfId="2">
      <formula>AND($I9&lt;&gt;"",$L9="")</formula>
    </cfRule>
  </conditionalFormatting>
  <dataValidations count="5">
    <dataValidation sqref="L79" showErrorMessage="1" showInputMessage="1" allowBlank="0" prompt="=SUM(K11:K41)">
      <formula1>0</formula1>
      <formula2>0</formula2>
    </dataValidation>
    <dataValidation sqref="F78:G78 J9:J77" showErrorMessage="1" showInputMessage="1" allowBlank="0">
      <formula1>0</formula1>
      <formula2>0</formula2>
    </dataValidation>
    <dataValidation sqref="I4:L4" showErrorMessage="1" showInputMessage="1" allowBlank="0" promptTitle="学校、会社などの所属先名" prompt="登録者一覧表を参照">
      <formula1>0</formula1>
      <formula2>0</formula2>
    </dataValidation>
    <dataValidation sqref="F4:H4 I5" showErrorMessage="1" showInputMessage="1" allowBlank="0" error="姓名の間のｽﾍﾟｰｽは半角" prompt="姓名の間のｽﾍﾟｰｽは半角">
      <formula1>0</formula1>
      <formula2>0</formula2>
    </dataValidation>
    <dataValidation sqref="L9:L77" showErrorMessage="1" showInputMessage="1" allowBlank="0" type="list">
      <formula1>"往復,片道"</formula1>
    </dataValidation>
  </dataValidations>
  <printOptions horizontalCentered="1" verticalCentered="1"/>
  <pageMargins left="0" right="0" top="0.9840277777777777" bottom="0.9840277777777777" header="0.5118055555555555" footer="0.5118055555555555"/>
  <pageSetup orientation="portrait" paperSize="9" scale="61" firstPageNumber="0" horizontalDpi="300" verticalDpi="300"/>
  <rowBreaks count="1" manualBreakCount="1">
    <brk id="81" min="0" max="16383" man="1"/>
  </rowBreaks>
  <legacyDrawing r:id="anysvml"/>
</worksheet>
</file>

<file path=xl/worksheets/sheet7.xml><?xml version="1.0" encoding="utf-8"?>
<worksheet xmlns:r="http://schemas.openxmlformats.org/officeDocument/2006/relationships" xmlns="http://schemas.openxmlformats.org/spreadsheetml/2006/main">
  <sheetPr codeName="Sheet9">
    <outlinePr summaryBelow="1" summaryRight="1"/>
    <pageSetUpPr fitToPage="1"/>
  </sheetPr>
  <dimension ref="A1:X43"/>
  <sheetViews>
    <sheetView view="pageBreakPreview" zoomScaleNormal="100" zoomScaleSheetLayoutView="100" workbookViewId="0">
      <selection activeCell="A20" sqref="A20:T20"/>
    </sheetView>
  </sheetViews>
  <sheetFormatPr baseColWidth="8" defaultColWidth="10" defaultRowHeight="13.5"/>
  <cols>
    <col width="2.5" customWidth="1" style="141" min="1" max="1"/>
    <col width="13.125" customWidth="1" style="141" min="2" max="3"/>
    <col width="10.125" customWidth="1" style="141" min="4" max="4"/>
    <col width="5" customWidth="1" style="141" min="5" max="5"/>
    <col width="3.25" customWidth="1" style="141" min="6" max="6"/>
    <col width="5" customWidth="1" style="141" min="7" max="7"/>
    <col width="3.5" customWidth="1" style="141" min="8" max="8"/>
    <col width="2.875" customWidth="1" style="141" min="9" max="9"/>
    <col width="6" customWidth="1" style="141" min="10" max="10"/>
    <col width="8.125" customWidth="1" style="141" min="11" max="11"/>
    <col width="5.5" customWidth="1" style="141" min="12" max="12"/>
    <col width="2.25" customWidth="1" style="141" min="13" max="13"/>
    <col width="4.5" customWidth="1" style="141" min="14" max="15"/>
    <col width="3.625" customWidth="1" style="141" min="16" max="16"/>
    <col width="3.5" customWidth="1" style="141" min="17" max="17"/>
    <col width="4.625" customWidth="1" style="141" min="18" max="18"/>
    <col width="11.25" customWidth="1" style="141" min="19" max="19"/>
    <col width="1.75" customWidth="1" style="141" min="20" max="20"/>
    <col width="10" customWidth="1" style="141" min="21" max="257"/>
    <col width="2.5" customWidth="1" style="141" min="258" max="258"/>
    <col width="13.125" customWidth="1" style="141" min="259" max="260"/>
    <col width="10.125" customWidth="1" style="141" min="261" max="261"/>
    <col width="5" customWidth="1" style="141" min="262" max="262"/>
    <col width="3.25" customWidth="1" style="141" min="263" max="263"/>
    <col width="5" customWidth="1" style="141" min="264" max="264"/>
    <col width="3.5" customWidth="1" style="141" min="265" max="265"/>
    <col width="2.875" customWidth="1" style="141" min="266" max="266"/>
    <col width="6" customWidth="1" style="141" min="267" max="267"/>
    <col width="8.125" customWidth="1" style="141" min="268" max="268"/>
    <col width="7.375" customWidth="1" style="141" min="269" max="269"/>
    <col width="4.5" customWidth="1" style="141" min="270" max="272"/>
    <col width="3.625" customWidth="1" style="141" min="273" max="273"/>
    <col width="3.5" customWidth="1" style="141" min="274" max="274"/>
    <col width="4.625" customWidth="1" style="141" min="275" max="275"/>
    <col width="12" customWidth="1" style="141" min="276" max="276"/>
    <col width="10" customWidth="1" style="141" min="277" max="513"/>
    <col width="2.5" customWidth="1" style="141" min="514" max="514"/>
    <col width="13.125" customWidth="1" style="141" min="515" max="516"/>
    <col width="10.125" customWidth="1" style="141" min="517" max="517"/>
    <col width="5" customWidth="1" style="141" min="518" max="518"/>
    <col width="3.25" customWidth="1" style="141" min="519" max="519"/>
    <col width="5" customWidth="1" style="141" min="520" max="520"/>
    <col width="3.5" customWidth="1" style="141" min="521" max="521"/>
    <col width="2.875" customWidth="1" style="141" min="522" max="522"/>
    <col width="6" customWidth="1" style="141" min="523" max="523"/>
    <col width="8.125" customWidth="1" style="141" min="524" max="524"/>
    <col width="7.375" customWidth="1" style="141" min="525" max="525"/>
    <col width="4.5" customWidth="1" style="141" min="526" max="528"/>
    <col width="3.625" customWidth="1" style="141" min="529" max="529"/>
    <col width="3.5" customWidth="1" style="141" min="530" max="530"/>
    <col width="4.625" customWidth="1" style="141" min="531" max="531"/>
    <col width="12" customWidth="1" style="141" min="532" max="532"/>
    <col width="10" customWidth="1" style="141" min="533" max="769"/>
    <col width="2.5" customWidth="1" style="141" min="770" max="770"/>
    <col width="13.125" customWidth="1" style="141" min="771" max="772"/>
    <col width="10.125" customWidth="1" style="141" min="773" max="773"/>
    <col width="5" customWidth="1" style="141" min="774" max="774"/>
    <col width="3.25" customWidth="1" style="141" min="775" max="775"/>
    <col width="5" customWidth="1" style="141" min="776" max="776"/>
    <col width="3.5" customWidth="1" style="141" min="777" max="777"/>
    <col width="2.875" customWidth="1" style="141" min="778" max="778"/>
    <col width="6" customWidth="1" style="141" min="779" max="779"/>
    <col width="8.125" customWidth="1" style="141" min="780" max="780"/>
    <col width="7.375" customWidth="1" style="141" min="781" max="781"/>
    <col width="4.5" customWidth="1" style="141" min="782" max="784"/>
    <col width="3.625" customWidth="1" style="141" min="785" max="785"/>
    <col width="3.5" customWidth="1" style="141" min="786" max="786"/>
    <col width="4.625" customWidth="1" style="141" min="787" max="787"/>
    <col width="12" customWidth="1" style="141" min="788" max="788"/>
    <col width="10" customWidth="1" style="141" min="789" max="1025"/>
    <col width="2.5" customWidth="1" style="141" min="1026" max="1026"/>
    <col width="13.125" customWidth="1" style="141" min="1027" max="1028"/>
    <col width="10.125" customWidth="1" style="141" min="1029" max="1029"/>
    <col width="5" customWidth="1" style="141" min="1030" max="1030"/>
    <col width="3.25" customWidth="1" style="141" min="1031" max="1031"/>
    <col width="5" customWidth="1" style="141" min="1032" max="1032"/>
    <col width="3.5" customWidth="1" style="141" min="1033" max="1033"/>
    <col width="2.875" customWidth="1" style="141" min="1034" max="1034"/>
    <col width="6" customWidth="1" style="141" min="1035" max="1035"/>
    <col width="8.125" customWidth="1" style="141" min="1036" max="1036"/>
    <col width="7.375" customWidth="1" style="141" min="1037" max="1037"/>
    <col width="4.5" customWidth="1" style="141" min="1038" max="1040"/>
    <col width="3.625" customWidth="1" style="141" min="1041" max="1041"/>
    <col width="3.5" customWidth="1" style="141" min="1042" max="1042"/>
    <col width="4.625" customWidth="1" style="141" min="1043" max="1043"/>
    <col width="12" customWidth="1" style="141" min="1044" max="1044"/>
    <col width="10" customWidth="1" style="141" min="1045" max="1281"/>
    <col width="2.5" customWidth="1" style="141" min="1282" max="1282"/>
    <col width="13.125" customWidth="1" style="141" min="1283" max="1284"/>
    <col width="10.125" customWidth="1" style="141" min="1285" max="1285"/>
    <col width="5" customWidth="1" style="141" min="1286" max="1286"/>
    <col width="3.25" customWidth="1" style="141" min="1287" max="1287"/>
    <col width="5" customWidth="1" style="141" min="1288" max="1288"/>
    <col width="3.5" customWidth="1" style="141" min="1289" max="1289"/>
    <col width="2.875" customWidth="1" style="141" min="1290" max="1290"/>
    <col width="6" customWidth="1" style="141" min="1291" max="1291"/>
    <col width="8.125" customWidth="1" style="141" min="1292" max="1292"/>
    <col width="7.375" customWidth="1" style="141" min="1293" max="1293"/>
    <col width="4.5" customWidth="1" style="141" min="1294" max="1296"/>
    <col width="3.625" customWidth="1" style="141" min="1297" max="1297"/>
    <col width="3.5" customWidth="1" style="141" min="1298" max="1298"/>
    <col width="4.625" customWidth="1" style="141" min="1299" max="1299"/>
    <col width="12" customWidth="1" style="141" min="1300" max="1300"/>
    <col width="10" customWidth="1" style="141" min="1301" max="1537"/>
    <col width="2.5" customWidth="1" style="141" min="1538" max="1538"/>
    <col width="13.125" customWidth="1" style="141" min="1539" max="1540"/>
    <col width="10.125" customWidth="1" style="141" min="1541" max="1541"/>
    <col width="5" customWidth="1" style="141" min="1542" max="1542"/>
    <col width="3.25" customWidth="1" style="141" min="1543" max="1543"/>
    <col width="5" customWidth="1" style="141" min="1544" max="1544"/>
    <col width="3.5" customWidth="1" style="141" min="1545" max="1545"/>
    <col width="2.875" customWidth="1" style="141" min="1546" max="1546"/>
    <col width="6" customWidth="1" style="141" min="1547" max="1547"/>
    <col width="8.125" customWidth="1" style="141" min="1548" max="1548"/>
    <col width="7.375" customWidth="1" style="141" min="1549" max="1549"/>
    <col width="4.5" customWidth="1" style="141" min="1550" max="1552"/>
    <col width="3.625" customWidth="1" style="141" min="1553" max="1553"/>
    <col width="3.5" customWidth="1" style="141" min="1554" max="1554"/>
    <col width="4.625" customWidth="1" style="141" min="1555" max="1555"/>
    <col width="12" customWidth="1" style="141" min="1556" max="1556"/>
    <col width="10" customWidth="1" style="141" min="1557" max="1793"/>
    <col width="2.5" customWidth="1" style="141" min="1794" max="1794"/>
    <col width="13.125" customWidth="1" style="141" min="1795" max="1796"/>
    <col width="10.125" customWidth="1" style="141" min="1797" max="1797"/>
    <col width="5" customWidth="1" style="141" min="1798" max="1798"/>
    <col width="3.25" customWidth="1" style="141" min="1799" max="1799"/>
    <col width="5" customWidth="1" style="141" min="1800" max="1800"/>
    <col width="3.5" customWidth="1" style="141" min="1801" max="1801"/>
    <col width="2.875" customWidth="1" style="141" min="1802" max="1802"/>
    <col width="6" customWidth="1" style="141" min="1803" max="1803"/>
    <col width="8.125" customWidth="1" style="141" min="1804" max="1804"/>
    <col width="7.375" customWidth="1" style="141" min="1805" max="1805"/>
    <col width="4.5" customWidth="1" style="141" min="1806" max="1808"/>
    <col width="3.625" customWidth="1" style="141" min="1809" max="1809"/>
    <col width="3.5" customWidth="1" style="141" min="1810" max="1810"/>
    <col width="4.625" customWidth="1" style="141" min="1811" max="1811"/>
    <col width="12" customWidth="1" style="141" min="1812" max="1812"/>
    <col width="10" customWidth="1" style="141" min="1813" max="2049"/>
    <col width="2.5" customWidth="1" style="141" min="2050" max="2050"/>
    <col width="13.125" customWidth="1" style="141" min="2051" max="2052"/>
    <col width="10.125" customWidth="1" style="141" min="2053" max="2053"/>
    <col width="5" customWidth="1" style="141" min="2054" max="2054"/>
    <col width="3.25" customWidth="1" style="141" min="2055" max="2055"/>
    <col width="5" customWidth="1" style="141" min="2056" max="2056"/>
    <col width="3.5" customWidth="1" style="141" min="2057" max="2057"/>
    <col width="2.875" customWidth="1" style="141" min="2058" max="2058"/>
    <col width="6" customWidth="1" style="141" min="2059" max="2059"/>
    <col width="8.125" customWidth="1" style="141" min="2060" max="2060"/>
    <col width="7.375" customWidth="1" style="141" min="2061" max="2061"/>
    <col width="4.5" customWidth="1" style="141" min="2062" max="2064"/>
    <col width="3.625" customWidth="1" style="141" min="2065" max="2065"/>
    <col width="3.5" customWidth="1" style="141" min="2066" max="2066"/>
    <col width="4.625" customWidth="1" style="141" min="2067" max="2067"/>
    <col width="12" customWidth="1" style="141" min="2068" max="2068"/>
    <col width="10" customWidth="1" style="141" min="2069" max="2305"/>
    <col width="2.5" customWidth="1" style="141" min="2306" max="2306"/>
    <col width="13.125" customWidth="1" style="141" min="2307" max="2308"/>
    <col width="10.125" customWidth="1" style="141" min="2309" max="2309"/>
    <col width="5" customWidth="1" style="141" min="2310" max="2310"/>
    <col width="3.25" customWidth="1" style="141" min="2311" max="2311"/>
    <col width="5" customWidth="1" style="141" min="2312" max="2312"/>
    <col width="3.5" customWidth="1" style="141" min="2313" max="2313"/>
    <col width="2.875" customWidth="1" style="141" min="2314" max="2314"/>
    <col width="6" customWidth="1" style="141" min="2315" max="2315"/>
    <col width="8.125" customWidth="1" style="141" min="2316" max="2316"/>
    <col width="7.375" customWidth="1" style="141" min="2317" max="2317"/>
    <col width="4.5" customWidth="1" style="141" min="2318" max="2320"/>
    <col width="3.625" customWidth="1" style="141" min="2321" max="2321"/>
    <col width="3.5" customWidth="1" style="141" min="2322" max="2322"/>
    <col width="4.625" customWidth="1" style="141" min="2323" max="2323"/>
    <col width="12" customWidth="1" style="141" min="2324" max="2324"/>
    <col width="10" customWidth="1" style="141" min="2325" max="2561"/>
    <col width="2.5" customWidth="1" style="141" min="2562" max="2562"/>
    <col width="13.125" customWidth="1" style="141" min="2563" max="2564"/>
    <col width="10.125" customWidth="1" style="141" min="2565" max="2565"/>
    <col width="5" customWidth="1" style="141" min="2566" max="2566"/>
    <col width="3.25" customWidth="1" style="141" min="2567" max="2567"/>
    <col width="5" customWidth="1" style="141" min="2568" max="2568"/>
    <col width="3.5" customWidth="1" style="141" min="2569" max="2569"/>
    <col width="2.875" customWidth="1" style="141" min="2570" max="2570"/>
    <col width="6" customWidth="1" style="141" min="2571" max="2571"/>
    <col width="8.125" customWidth="1" style="141" min="2572" max="2572"/>
    <col width="7.375" customWidth="1" style="141" min="2573" max="2573"/>
    <col width="4.5" customWidth="1" style="141" min="2574" max="2576"/>
    <col width="3.625" customWidth="1" style="141" min="2577" max="2577"/>
    <col width="3.5" customWidth="1" style="141" min="2578" max="2578"/>
    <col width="4.625" customWidth="1" style="141" min="2579" max="2579"/>
    <col width="12" customWidth="1" style="141" min="2580" max="2580"/>
    <col width="10" customWidth="1" style="141" min="2581" max="2817"/>
    <col width="2.5" customWidth="1" style="141" min="2818" max="2818"/>
    <col width="13.125" customWidth="1" style="141" min="2819" max="2820"/>
    <col width="10.125" customWidth="1" style="141" min="2821" max="2821"/>
    <col width="5" customWidth="1" style="141" min="2822" max="2822"/>
    <col width="3.25" customWidth="1" style="141" min="2823" max="2823"/>
    <col width="5" customWidth="1" style="141" min="2824" max="2824"/>
    <col width="3.5" customWidth="1" style="141" min="2825" max="2825"/>
    <col width="2.875" customWidth="1" style="141" min="2826" max="2826"/>
    <col width="6" customWidth="1" style="141" min="2827" max="2827"/>
    <col width="8.125" customWidth="1" style="141" min="2828" max="2828"/>
    <col width="7.375" customWidth="1" style="141" min="2829" max="2829"/>
    <col width="4.5" customWidth="1" style="141" min="2830" max="2832"/>
    <col width="3.625" customWidth="1" style="141" min="2833" max="2833"/>
    <col width="3.5" customWidth="1" style="141" min="2834" max="2834"/>
    <col width="4.625" customWidth="1" style="141" min="2835" max="2835"/>
    <col width="12" customWidth="1" style="141" min="2836" max="2836"/>
    <col width="10" customWidth="1" style="141" min="2837" max="3073"/>
    <col width="2.5" customWidth="1" style="141" min="3074" max="3074"/>
    <col width="13.125" customWidth="1" style="141" min="3075" max="3076"/>
    <col width="10.125" customWidth="1" style="141" min="3077" max="3077"/>
    <col width="5" customWidth="1" style="141" min="3078" max="3078"/>
    <col width="3.25" customWidth="1" style="141" min="3079" max="3079"/>
    <col width="5" customWidth="1" style="141" min="3080" max="3080"/>
    <col width="3.5" customWidth="1" style="141" min="3081" max="3081"/>
    <col width="2.875" customWidth="1" style="141" min="3082" max="3082"/>
    <col width="6" customWidth="1" style="141" min="3083" max="3083"/>
    <col width="8.125" customWidth="1" style="141" min="3084" max="3084"/>
    <col width="7.375" customWidth="1" style="141" min="3085" max="3085"/>
    <col width="4.5" customWidth="1" style="141" min="3086" max="3088"/>
    <col width="3.625" customWidth="1" style="141" min="3089" max="3089"/>
    <col width="3.5" customWidth="1" style="141" min="3090" max="3090"/>
    <col width="4.625" customWidth="1" style="141" min="3091" max="3091"/>
    <col width="12" customWidth="1" style="141" min="3092" max="3092"/>
    <col width="10" customWidth="1" style="141" min="3093" max="3329"/>
    <col width="2.5" customWidth="1" style="141" min="3330" max="3330"/>
    <col width="13.125" customWidth="1" style="141" min="3331" max="3332"/>
    <col width="10.125" customWidth="1" style="141" min="3333" max="3333"/>
    <col width="5" customWidth="1" style="141" min="3334" max="3334"/>
    <col width="3.25" customWidth="1" style="141" min="3335" max="3335"/>
    <col width="5" customWidth="1" style="141" min="3336" max="3336"/>
    <col width="3.5" customWidth="1" style="141" min="3337" max="3337"/>
    <col width="2.875" customWidth="1" style="141" min="3338" max="3338"/>
    <col width="6" customWidth="1" style="141" min="3339" max="3339"/>
    <col width="8.125" customWidth="1" style="141" min="3340" max="3340"/>
    <col width="7.375" customWidth="1" style="141" min="3341" max="3341"/>
    <col width="4.5" customWidth="1" style="141" min="3342" max="3344"/>
    <col width="3.625" customWidth="1" style="141" min="3345" max="3345"/>
    <col width="3.5" customWidth="1" style="141" min="3346" max="3346"/>
    <col width="4.625" customWidth="1" style="141" min="3347" max="3347"/>
    <col width="12" customWidth="1" style="141" min="3348" max="3348"/>
    <col width="10" customWidth="1" style="141" min="3349" max="3585"/>
    <col width="2.5" customWidth="1" style="141" min="3586" max="3586"/>
    <col width="13.125" customWidth="1" style="141" min="3587" max="3588"/>
    <col width="10.125" customWidth="1" style="141" min="3589" max="3589"/>
    <col width="5" customWidth="1" style="141" min="3590" max="3590"/>
    <col width="3.25" customWidth="1" style="141" min="3591" max="3591"/>
    <col width="5" customWidth="1" style="141" min="3592" max="3592"/>
    <col width="3.5" customWidth="1" style="141" min="3593" max="3593"/>
    <col width="2.875" customWidth="1" style="141" min="3594" max="3594"/>
    <col width="6" customWidth="1" style="141" min="3595" max="3595"/>
    <col width="8.125" customWidth="1" style="141" min="3596" max="3596"/>
    <col width="7.375" customWidth="1" style="141" min="3597" max="3597"/>
    <col width="4.5" customWidth="1" style="141" min="3598" max="3600"/>
    <col width="3.625" customWidth="1" style="141" min="3601" max="3601"/>
    <col width="3.5" customWidth="1" style="141" min="3602" max="3602"/>
    <col width="4.625" customWidth="1" style="141" min="3603" max="3603"/>
    <col width="12" customWidth="1" style="141" min="3604" max="3604"/>
    <col width="10" customWidth="1" style="141" min="3605" max="3841"/>
    <col width="2.5" customWidth="1" style="141" min="3842" max="3842"/>
    <col width="13.125" customWidth="1" style="141" min="3843" max="3844"/>
    <col width="10.125" customWidth="1" style="141" min="3845" max="3845"/>
    <col width="5" customWidth="1" style="141" min="3846" max="3846"/>
    <col width="3.25" customWidth="1" style="141" min="3847" max="3847"/>
    <col width="5" customWidth="1" style="141" min="3848" max="3848"/>
    <col width="3.5" customWidth="1" style="141" min="3849" max="3849"/>
    <col width="2.875" customWidth="1" style="141" min="3850" max="3850"/>
    <col width="6" customWidth="1" style="141" min="3851" max="3851"/>
    <col width="8.125" customWidth="1" style="141" min="3852" max="3852"/>
    <col width="7.375" customWidth="1" style="141" min="3853" max="3853"/>
    <col width="4.5" customWidth="1" style="141" min="3854" max="3856"/>
    <col width="3.625" customWidth="1" style="141" min="3857" max="3857"/>
    <col width="3.5" customWidth="1" style="141" min="3858" max="3858"/>
    <col width="4.625" customWidth="1" style="141" min="3859" max="3859"/>
    <col width="12" customWidth="1" style="141" min="3860" max="3860"/>
    <col width="10" customWidth="1" style="141" min="3861" max="4097"/>
    <col width="2.5" customWidth="1" style="141" min="4098" max="4098"/>
    <col width="13.125" customWidth="1" style="141" min="4099" max="4100"/>
    <col width="10.125" customWidth="1" style="141" min="4101" max="4101"/>
    <col width="5" customWidth="1" style="141" min="4102" max="4102"/>
    <col width="3.25" customWidth="1" style="141" min="4103" max="4103"/>
    <col width="5" customWidth="1" style="141" min="4104" max="4104"/>
    <col width="3.5" customWidth="1" style="141" min="4105" max="4105"/>
    <col width="2.875" customWidth="1" style="141" min="4106" max="4106"/>
    <col width="6" customWidth="1" style="141" min="4107" max="4107"/>
    <col width="8.125" customWidth="1" style="141" min="4108" max="4108"/>
    <col width="7.375" customWidth="1" style="141" min="4109" max="4109"/>
    <col width="4.5" customWidth="1" style="141" min="4110" max="4112"/>
    <col width="3.625" customWidth="1" style="141" min="4113" max="4113"/>
    <col width="3.5" customWidth="1" style="141" min="4114" max="4114"/>
    <col width="4.625" customWidth="1" style="141" min="4115" max="4115"/>
    <col width="12" customWidth="1" style="141" min="4116" max="4116"/>
    <col width="10" customWidth="1" style="141" min="4117" max="4353"/>
    <col width="2.5" customWidth="1" style="141" min="4354" max="4354"/>
    <col width="13.125" customWidth="1" style="141" min="4355" max="4356"/>
    <col width="10.125" customWidth="1" style="141" min="4357" max="4357"/>
    <col width="5" customWidth="1" style="141" min="4358" max="4358"/>
    <col width="3.25" customWidth="1" style="141" min="4359" max="4359"/>
    <col width="5" customWidth="1" style="141" min="4360" max="4360"/>
    <col width="3.5" customWidth="1" style="141" min="4361" max="4361"/>
    <col width="2.875" customWidth="1" style="141" min="4362" max="4362"/>
    <col width="6" customWidth="1" style="141" min="4363" max="4363"/>
    <col width="8.125" customWidth="1" style="141" min="4364" max="4364"/>
    <col width="7.375" customWidth="1" style="141" min="4365" max="4365"/>
    <col width="4.5" customWidth="1" style="141" min="4366" max="4368"/>
    <col width="3.625" customWidth="1" style="141" min="4369" max="4369"/>
    <col width="3.5" customWidth="1" style="141" min="4370" max="4370"/>
    <col width="4.625" customWidth="1" style="141" min="4371" max="4371"/>
    <col width="12" customWidth="1" style="141" min="4372" max="4372"/>
    <col width="10" customWidth="1" style="141" min="4373" max="4609"/>
    <col width="2.5" customWidth="1" style="141" min="4610" max="4610"/>
    <col width="13.125" customWidth="1" style="141" min="4611" max="4612"/>
    <col width="10.125" customWidth="1" style="141" min="4613" max="4613"/>
    <col width="5" customWidth="1" style="141" min="4614" max="4614"/>
    <col width="3.25" customWidth="1" style="141" min="4615" max="4615"/>
    <col width="5" customWidth="1" style="141" min="4616" max="4616"/>
    <col width="3.5" customWidth="1" style="141" min="4617" max="4617"/>
    <col width="2.875" customWidth="1" style="141" min="4618" max="4618"/>
    <col width="6" customWidth="1" style="141" min="4619" max="4619"/>
    <col width="8.125" customWidth="1" style="141" min="4620" max="4620"/>
    <col width="7.375" customWidth="1" style="141" min="4621" max="4621"/>
    <col width="4.5" customWidth="1" style="141" min="4622" max="4624"/>
    <col width="3.625" customWidth="1" style="141" min="4625" max="4625"/>
    <col width="3.5" customWidth="1" style="141" min="4626" max="4626"/>
    <col width="4.625" customWidth="1" style="141" min="4627" max="4627"/>
    <col width="12" customWidth="1" style="141" min="4628" max="4628"/>
    <col width="10" customWidth="1" style="141" min="4629" max="4865"/>
    <col width="2.5" customWidth="1" style="141" min="4866" max="4866"/>
    <col width="13.125" customWidth="1" style="141" min="4867" max="4868"/>
    <col width="10.125" customWidth="1" style="141" min="4869" max="4869"/>
    <col width="5" customWidth="1" style="141" min="4870" max="4870"/>
    <col width="3.25" customWidth="1" style="141" min="4871" max="4871"/>
    <col width="5" customWidth="1" style="141" min="4872" max="4872"/>
    <col width="3.5" customWidth="1" style="141" min="4873" max="4873"/>
    <col width="2.875" customWidth="1" style="141" min="4874" max="4874"/>
    <col width="6" customWidth="1" style="141" min="4875" max="4875"/>
    <col width="8.125" customWidth="1" style="141" min="4876" max="4876"/>
    <col width="7.375" customWidth="1" style="141" min="4877" max="4877"/>
    <col width="4.5" customWidth="1" style="141" min="4878" max="4880"/>
    <col width="3.625" customWidth="1" style="141" min="4881" max="4881"/>
    <col width="3.5" customWidth="1" style="141" min="4882" max="4882"/>
    <col width="4.625" customWidth="1" style="141" min="4883" max="4883"/>
    <col width="12" customWidth="1" style="141" min="4884" max="4884"/>
    <col width="10" customWidth="1" style="141" min="4885" max="5121"/>
    <col width="2.5" customWidth="1" style="141" min="5122" max="5122"/>
    <col width="13.125" customWidth="1" style="141" min="5123" max="5124"/>
    <col width="10.125" customWidth="1" style="141" min="5125" max="5125"/>
    <col width="5" customWidth="1" style="141" min="5126" max="5126"/>
    <col width="3.25" customWidth="1" style="141" min="5127" max="5127"/>
    <col width="5" customWidth="1" style="141" min="5128" max="5128"/>
    <col width="3.5" customWidth="1" style="141" min="5129" max="5129"/>
    <col width="2.875" customWidth="1" style="141" min="5130" max="5130"/>
    <col width="6" customWidth="1" style="141" min="5131" max="5131"/>
    <col width="8.125" customWidth="1" style="141" min="5132" max="5132"/>
    <col width="7.375" customWidth="1" style="141" min="5133" max="5133"/>
    <col width="4.5" customWidth="1" style="141" min="5134" max="5136"/>
    <col width="3.625" customWidth="1" style="141" min="5137" max="5137"/>
    <col width="3.5" customWidth="1" style="141" min="5138" max="5138"/>
    <col width="4.625" customWidth="1" style="141" min="5139" max="5139"/>
    <col width="12" customWidth="1" style="141" min="5140" max="5140"/>
    <col width="10" customWidth="1" style="141" min="5141" max="5377"/>
    <col width="2.5" customWidth="1" style="141" min="5378" max="5378"/>
    <col width="13.125" customWidth="1" style="141" min="5379" max="5380"/>
    <col width="10.125" customWidth="1" style="141" min="5381" max="5381"/>
    <col width="5" customWidth="1" style="141" min="5382" max="5382"/>
    <col width="3.25" customWidth="1" style="141" min="5383" max="5383"/>
    <col width="5" customWidth="1" style="141" min="5384" max="5384"/>
    <col width="3.5" customWidth="1" style="141" min="5385" max="5385"/>
    <col width="2.875" customWidth="1" style="141" min="5386" max="5386"/>
    <col width="6" customWidth="1" style="141" min="5387" max="5387"/>
    <col width="8.125" customWidth="1" style="141" min="5388" max="5388"/>
    <col width="7.375" customWidth="1" style="141" min="5389" max="5389"/>
    <col width="4.5" customWidth="1" style="141" min="5390" max="5392"/>
    <col width="3.625" customWidth="1" style="141" min="5393" max="5393"/>
    <col width="3.5" customWidth="1" style="141" min="5394" max="5394"/>
    <col width="4.625" customWidth="1" style="141" min="5395" max="5395"/>
    <col width="12" customWidth="1" style="141" min="5396" max="5396"/>
    <col width="10" customWidth="1" style="141" min="5397" max="5633"/>
    <col width="2.5" customWidth="1" style="141" min="5634" max="5634"/>
    <col width="13.125" customWidth="1" style="141" min="5635" max="5636"/>
    <col width="10.125" customWidth="1" style="141" min="5637" max="5637"/>
    <col width="5" customWidth="1" style="141" min="5638" max="5638"/>
    <col width="3.25" customWidth="1" style="141" min="5639" max="5639"/>
    <col width="5" customWidth="1" style="141" min="5640" max="5640"/>
    <col width="3.5" customWidth="1" style="141" min="5641" max="5641"/>
    <col width="2.875" customWidth="1" style="141" min="5642" max="5642"/>
    <col width="6" customWidth="1" style="141" min="5643" max="5643"/>
    <col width="8.125" customWidth="1" style="141" min="5644" max="5644"/>
    <col width="7.375" customWidth="1" style="141" min="5645" max="5645"/>
    <col width="4.5" customWidth="1" style="141" min="5646" max="5648"/>
    <col width="3.625" customWidth="1" style="141" min="5649" max="5649"/>
    <col width="3.5" customWidth="1" style="141" min="5650" max="5650"/>
    <col width="4.625" customWidth="1" style="141" min="5651" max="5651"/>
    <col width="12" customWidth="1" style="141" min="5652" max="5652"/>
    <col width="10" customWidth="1" style="141" min="5653" max="5889"/>
    <col width="2.5" customWidth="1" style="141" min="5890" max="5890"/>
    <col width="13.125" customWidth="1" style="141" min="5891" max="5892"/>
    <col width="10.125" customWidth="1" style="141" min="5893" max="5893"/>
    <col width="5" customWidth="1" style="141" min="5894" max="5894"/>
    <col width="3.25" customWidth="1" style="141" min="5895" max="5895"/>
    <col width="5" customWidth="1" style="141" min="5896" max="5896"/>
    <col width="3.5" customWidth="1" style="141" min="5897" max="5897"/>
    <col width="2.875" customWidth="1" style="141" min="5898" max="5898"/>
    <col width="6" customWidth="1" style="141" min="5899" max="5899"/>
    <col width="8.125" customWidth="1" style="141" min="5900" max="5900"/>
    <col width="7.375" customWidth="1" style="141" min="5901" max="5901"/>
    <col width="4.5" customWidth="1" style="141" min="5902" max="5904"/>
    <col width="3.625" customWidth="1" style="141" min="5905" max="5905"/>
    <col width="3.5" customWidth="1" style="141" min="5906" max="5906"/>
    <col width="4.625" customWidth="1" style="141" min="5907" max="5907"/>
    <col width="12" customWidth="1" style="141" min="5908" max="5908"/>
    <col width="10" customWidth="1" style="141" min="5909" max="6145"/>
    <col width="2.5" customWidth="1" style="141" min="6146" max="6146"/>
    <col width="13.125" customWidth="1" style="141" min="6147" max="6148"/>
    <col width="10.125" customWidth="1" style="141" min="6149" max="6149"/>
    <col width="5" customWidth="1" style="141" min="6150" max="6150"/>
    <col width="3.25" customWidth="1" style="141" min="6151" max="6151"/>
    <col width="5" customWidth="1" style="141" min="6152" max="6152"/>
    <col width="3.5" customWidth="1" style="141" min="6153" max="6153"/>
    <col width="2.875" customWidth="1" style="141" min="6154" max="6154"/>
    <col width="6" customWidth="1" style="141" min="6155" max="6155"/>
    <col width="8.125" customWidth="1" style="141" min="6156" max="6156"/>
    <col width="7.375" customWidth="1" style="141" min="6157" max="6157"/>
    <col width="4.5" customWidth="1" style="141" min="6158" max="6160"/>
    <col width="3.625" customWidth="1" style="141" min="6161" max="6161"/>
    <col width="3.5" customWidth="1" style="141" min="6162" max="6162"/>
    <col width="4.625" customWidth="1" style="141" min="6163" max="6163"/>
    <col width="12" customWidth="1" style="141" min="6164" max="6164"/>
    <col width="10" customWidth="1" style="141" min="6165" max="6401"/>
    <col width="2.5" customWidth="1" style="141" min="6402" max="6402"/>
    <col width="13.125" customWidth="1" style="141" min="6403" max="6404"/>
    <col width="10.125" customWidth="1" style="141" min="6405" max="6405"/>
    <col width="5" customWidth="1" style="141" min="6406" max="6406"/>
    <col width="3.25" customWidth="1" style="141" min="6407" max="6407"/>
    <col width="5" customWidth="1" style="141" min="6408" max="6408"/>
    <col width="3.5" customWidth="1" style="141" min="6409" max="6409"/>
    <col width="2.875" customWidth="1" style="141" min="6410" max="6410"/>
    <col width="6" customWidth="1" style="141" min="6411" max="6411"/>
    <col width="8.125" customWidth="1" style="141" min="6412" max="6412"/>
    <col width="7.375" customWidth="1" style="141" min="6413" max="6413"/>
    <col width="4.5" customWidth="1" style="141" min="6414" max="6416"/>
    <col width="3.625" customWidth="1" style="141" min="6417" max="6417"/>
    <col width="3.5" customWidth="1" style="141" min="6418" max="6418"/>
    <col width="4.625" customWidth="1" style="141" min="6419" max="6419"/>
    <col width="12" customWidth="1" style="141" min="6420" max="6420"/>
    <col width="10" customWidth="1" style="141" min="6421" max="6657"/>
    <col width="2.5" customWidth="1" style="141" min="6658" max="6658"/>
    <col width="13.125" customWidth="1" style="141" min="6659" max="6660"/>
    <col width="10.125" customWidth="1" style="141" min="6661" max="6661"/>
    <col width="5" customWidth="1" style="141" min="6662" max="6662"/>
    <col width="3.25" customWidth="1" style="141" min="6663" max="6663"/>
    <col width="5" customWidth="1" style="141" min="6664" max="6664"/>
    <col width="3.5" customWidth="1" style="141" min="6665" max="6665"/>
    <col width="2.875" customWidth="1" style="141" min="6666" max="6666"/>
    <col width="6" customWidth="1" style="141" min="6667" max="6667"/>
    <col width="8.125" customWidth="1" style="141" min="6668" max="6668"/>
    <col width="7.375" customWidth="1" style="141" min="6669" max="6669"/>
    <col width="4.5" customWidth="1" style="141" min="6670" max="6672"/>
    <col width="3.625" customWidth="1" style="141" min="6673" max="6673"/>
    <col width="3.5" customWidth="1" style="141" min="6674" max="6674"/>
    <col width="4.625" customWidth="1" style="141" min="6675" max="6675"/>
    <col width="12" customWidth="1" style="141" min="6676" max="6676"/>
    <col width="10" customWidth="1" style="141" min="6677" max="6913"/>
    <col width="2.5" customWidth="1" style="141" min="6914" max="6914"/>
    <col width="13.125" customWidth="1" style="141" min="6915" max="6916"/>
    <col width="10.125" customWidth="1" style="141" min="6917" max="6917"/>
    <col width="5" customWidth="1" style="141" min="6918" max="6918"/>
    <col width="3.25" customWidth="1" style="141" min="6919" max="6919"/>
    <col width="5" customWidth="1" style="141" min="6920" max="6920"/>
    <col width="3.5" customWidth="1" style="141" min="6921" max="6921"/>
    <col width="2.875" customWidth="1" style="141" min="6922" max="6922"/>
    <col width="6" customWidth="1" style="141" min="6923" max="6923"/>
    <col width="8.125" customWidth="1" style="141" min="6924" max="6924"/>
    <col width="7.375" customWidth="1" style="141" min="6925" max="6925"/>
    <col width="4.5" customWidth="1" style="141" min="6926" max="6928"/>
    <col width="3.625" customWidth="1" style="141" min="6929" max="6929"/>
    <col width="3.5" customWidth="1" style="141" min="6930" max="6930"/>
    <col width="4.625" customWidth="1" style="141" min="6931" max="6931"/>
    <col width="12" customWidth="1" style="141" min="6932" max="6932"/>
    <col width="10" customWidth="1" style="141" min="6933" max="7169"/>
    <col width="2.5" customWidth="1" style="141" min="7170" max="7170"/>
    <col width="13.125" customWidth="1" style="141" min="7171" max="7172"/>
    <col width="10.125" customWidth="1" style="141" min="7173" max="7173"/>
    <col width="5" customWidth="1" style="141" min="7174" max="7174"/>
    <col width="3.25" customWidth="1" style="141" min="7175" max="7175"/>
    <col width="5" customWidth="1" style="141" min="7176" max="7176"/>
    <col width="3.5" customWidth="1" style="141" min="7177" max="7177"/>
    <col width="2.875" customWidth="1" style="141" min="7178" max="7178"/>
    <col width="6" customWidth="1" style="141" min="7179" max="7179"/>
    <col width="8.125" customWidth="1" style="141" min="7180" max="7180"/>
    <col width="7.375" customWidth="1" style="141" min="7181" max="7181"/>
    <col width="4.5" customWidth="1" style="141" min="7182" max="7184"/>
    <col width="3.625" customWidth="1" style="141" min="7185" max="7185"/>
    <col width="3.5" customWidth="1" style="141" min="7186" max="7186"/>
    <col width="4.625" customWidth="1" style="141" min="7187" max="7187"/>
    <col width="12" customWidth="1" style="141" min="7188" max="7188"/>
    <col width="10" customWidth="1" style="141" min="7189" max="7425"/>
    <col width="2.5" customWidth="1" style="141" min="7426" max="7426"/>
    <col width="13.125" customWidth="1" style="141" min="7427" max="7428"/>
    <col width="10.125" customWidth="1" style="141" min="7429" max="7429"/>
    <col width="5" customWidth="1" style="141" min="7430" max="7430"/>
    <col width="3.25" customWidth="1" style="141" min="7431" max="7431"/>
    <col width="5" customWidth="1" style="141" min="7432" max="7432"/>
    <col width="3.5" customWidth="1" style="141" min="7433" max="7433"/>
    <col width="2.875" customWidth="1" style="141" min="7434" max="7434"/>
    <col width="6" customWidth="1" style="141" min="7435" max="7435"/>
    <col width="8.125" customWidth="1" style="141" min="7436" max="7436"/>
    <col width="7.375" customWidth="1" style="141" min="7437" max="7437"/>
    <col width="4.5" customWidth="1" style="141" min="7438" max="7440"/>
    <col width="3.625" customWidth="1" style="141" min="7441" max="7441"/>
    <col width="3.5" customWidth="1" style="141" min="7442" max="7442"/>
    <col width="4.625" customWidth="1" style="141" min="7443" max="7443"/>
    <col width="12" customWidth="1" style="141" min="7444" max="7444"/>
    <col width="10" customWidth="1" style="141" min="7445" max="7681"/>
    <col width="2.5" customWidth="1" style="141" min="7682" max="7682"/>
    <col width="13.125" customWidth="1" style="141" min="7683" max="7684"/>
    <col width="10.125" customWidth="1" style="141" min="7685" max="7685"/>
    <col width="5" customWidth="1" style="141" min="7686" max="7686"/>
    <col width="3.25" customWidth="1" style="141" min="7687" max="7687"/>
    <col width="5" customWidth="1" style="141" min="7688" max="7688"/>
    <col width="3.5" customWidth="1" style="141" min="7689" max="7689"/>
    <col width="2.875" customWidth="1" style="141" min="7690" max="7690"/>
    <col width="6" customWidth="1" style="141" min="7691" max="7691"/>
    <col width="8.125" customWidth="1" style="141" min="7692" max="7692"/>
    <col width="7.375" customWidth="1" style="141" min="7693" max="7693"/>
    <col width="4.5" customWidth="1" style="141" min="7694" max="7696"/>
    <col width="3.625" customWidth="1" style="141" min="7697" max="7697"/>
    <col width="3.5" customWidth="1" style="141" min="7698" max="7698"/>
    <col width="4.625" customWidth="1" style="141" min="7699" max="7699"/>
    <col width="12" customWidth="1" style="141" min="7700" max="7700"/>
    <col width="10" customWidth="1" style="141" min="7701" max="7937"/>
    <col width="2.5" customWidth="1" style="141" min="7938" max="7938"/>
    <col width="13.125" customWidth="1" style="141" min="7939" max="7940"/>
    <col width="10.125" customWidth="1" style="141" min="7941" max="7941"/>
    <col width="5" customWidth="1" style="141" min="7942" max="7942"/>
    <col width="3.25" customWidth="1" style="141" min="7943" max="7943"/>
    <col width="5" customWidth="1" style="141" min="7944" max="7944"/>
    <col width="3.5" customWidth="1" style="141" min="7945" max="7945"/>
    <col width="2.875" customWidth="1" style="141" min="7946" max="7946"/>
    <col width="6" customWidth="1" style="141" min="7947" max="7947"/>
    <col width="8.125" customWidth="1" style="141" min="7948" max="7948"/>
    <col width="7.375" customWidth="1" style="141" min="7949" max="7949"/>
    <col width="4.5" customWidth="1" style="141" min="7950" max="7952"/>
    <col width="3.625" customWidth="1" style="141" min="7953" max="7953"/>
    <col width="3.5" customWidth="1" style="141" min="7954" max="7954"/>
    <col width="4.625" customWidth="1" style="141" min="7955" max="7955"/>
    <col width="12" customWidth="1" style="141" min="7956" max="7956"/>
    <col width="10" customWidth="1" style="141" min="7957" max="8193"/>
    <col width="2.5" customWidth="1" style="141" min="8194" max="8194"/>
    <col width="13.125" customWidth="1" style="141" min="8195" max="8196"/>
    <col width="10.125" customWidth="1" style="141" min="8197" max="8197"/>
    <col width="5" customWidth="1" style="141" min="8198" max="8198"/>
    <col width="3.25" customWidth="1" style="141" min="8199" max="8199"/>
    <col width="5" customWidth="1" style="141" min="8200" max="8200"/>
    <col width="3.5" customWidth="1" style="141" min="8201" max="8201"/>
    <col width="2.875" customWidth="1" style="141" min="8202" max="8202"/>
    <col width="6" customWidth="1" style="141" min="8203" max="8203"/>
    <col width="8.125" customWidth="1" style="141" min="8204" max="8204"/>
    <col width="7.375" customWidth="1" style="141" min="8205" max="8205"/>
    <col width="4.5" customWidth="1" style="141" min="8206" max="8208"/>
    <col width="3.625" customWidth="1" style="141" min="8209" max="8209"/>
    <col width="3.5" customWidth="1" style="141" min="8210" max="8210"/>
    <col width="4.625" customWidth="1" style="141" min="8211" max="8211"/>
    <col width="12" customWidth="1" style="141" min="8212" max="8212"/>
    <col width="10" customWidth="1" style="141" min="8213" max="8449"/>
    <col width="2.5" customWidth="1" style="141" min="8450" max="8450"/>
    <col width="13.125" customWidth="1" style="141" min="8451" max="8452"/>
    <col width="10.125" customWidth="1" style="141" min="8453" max="8453"/>
    <col width="5" customWidth="1" style="141" min="8454" max="8454"/>
    <col width="3.25" customWidth="1" style="141" min="8455" max="8455"/>
    <col width="5" customWidth="1" style="141" min="8456" max="8456"/>
    <col width="3.5" customWidth="1" style="141" min="8457" max="8457"/>
    <col width="2.875" customWidth="1" style="141" min="8458" max="8458"/>
    <col width="6" customWidth="1" style="141" min="8459" max="8459"/>
    <col width="8.125" customWidth="1" style="141" min="8460" max="8460"/>
    <col width="7.375" customWidth="1" style="141" min="8461" max="8461"/>
    <col width="4.5" customWidth="1" style="141" min="8462" max="8464"/>
    <col width="3.625" customWidth="1" style="141" min="8465" max="8465"/>
    <col width="3.5" customWidth="1" style="141" min="8466" max="8466"/>
    <col width="4.625" customWidth="1" style="141" min="8467" max="8467"/>
    <col width="12" customWidth="1" style="141" min="8468" max="8468"/>
    <col width="10" customWidth="1" style="141" min="8469" max="8705"/>
    <col width="2.5" customWidth="1" style="141" min="8706" max="8706"/>
    <col width="13.125" customWidth="1" style="141" min="8707" max="8708"/>
    <col width="10.125" customWidth="1" style="141" min="8709" max="8709"/>
    <col width="5" customWidth="1" style="141" min="8710" max="8710"/>
    <col width="3.25" customWidth="1" style="141" min="8711" max="8711"/>
    <col width="5" customWidth="1" style="141" min="8712" max="8712"/>
    <col width="3.5" customWidth="1" style="141" min="8713" max="8713"/>
    <col width="2.875" customWidth="1" style="141" min="8714" max="8714"/>
    <col width="6" customWidth="1" style="141" min="8715" max="8715"/>
    <col width="8.125" customWidth="1" style="141" min="8716" max="8716"/>
    <col width="7.375" customWidth="1" style="141" min="8717" max="8717"/>
    <col width="4.5" customWidth="1" style="141" min="8718" max="8720"/>
    <col width="3.625" customWidth="1" style="141" min="8721" max="8721"/>
    <col width="3.5" customWidth="1" style="141" min="8722" max="8722"/>
    <col width="4.625" customWidth="1" style="141" min="8723" max="8723"/>
    <col width="12" customWidth="1" style="141" min="8724" max="8724"/>
    <col width="10" customWidth="1" style="141" min="8725" max="8961"/>
    <col width="2.5" customWidth="1" style="141" min="8962" max="8962"/>
    <col width="13.125" customWidth="1" style="141" min="8963" max="8964"/>
    <col width="10.125" customWidth="1" style="141" min="8965" max="8965"/>
    <col width="5" customWidth="1" style="141" min="8966" max="8966"/>
    <col width="3.25" customWidth="1" style="141" min="8967" max="8967"/>
    <col width="5" customWidth="1" style="141" min="8968" max="8968"/>
    <col width="3.5" customWidth="1" style="141" min="8969" max="8969"/>
    <col width="2.875" customWidth="1" style="141" min="8970" max="8970"/>
    <col width="6" customWidth="1" style="141" min="8971" max="8971"/>
    <col width="8.125" customWidth="1" style="141" min="8972" max="8972"/>
    <col width="7.375" customWidth="1" style="141" min="8973" max="8973"/>
    <col width="4.5" customWidth="1" style="141" min="8974" max="8976"/>
    <col width="3.625" customWidth="1" style="141" min="8977" max="8977"/>
    <col width="3.5" customWidth="1" style="141" min="8978" max="8978"/>
    <col width="4.625" customWidth="1" style="141" min="8979" max="8979"/>
    <col width="12" customWidth="1" style="141" min="8980" max="8980"/>
    <col width="10" customWidth="1" style="141" min="8981" max="9217"/>
    <col width="2.5" customWidth="1" style="141" min="9218" max="9218"/>
    <col width="13.125" customWidth="1" style="141" min="9219" max="9220"/>
    <col width="10.125" customWidth="1" style="141" min="9221" max="9221"/>
    <col width="5" customWidth="1" style="141" min="9222" max="9222"/>
    <col width="3.25" customWidth="1" style="141" min="9223" max="9223"/>
    <col width="5" customWidth="1" style="141" min="9224" max="9224"/>
    <col width="3.5" customWidth="1" style="141" min="9225" max="9225"/>
    <col width="2.875" customWidth="1" style="141" min="9226" max="9226"/>
    <col width="6" customWidth="1" style="141" min="9227" max="9227"/>
    <col width="8.125" customWidth="1" style="141" min="9228" max="9228"/>
    <col width="7.375" customWidth="1" style="141" min="9229" max="9229"/>
    <col width="4.5" customWidth="1" style="141" min="9230" max="9232"/>
    <col width="3.625" customWidth="1" style="141" min="9233" max="9233"/>
    <col width="3.5" customWidth="1" style="141" min="9234" max="9234"/>
    <col width="4.625" customWidth="1" style="141" min="9235" max="9235"/>
    <col width="12" customWidth="1" style="141" min="9236" max="9236"/>
    <col width="10" customWidth="1" style="141" min="9237" max="9473"/>
    <col width="2.5" customWidth="1" style="141" min="9474" max="9474"/>
    <col width="13.125" customWidth="1" style="141" min="9475" max="9476"/>
    <col width="10.125" customWidth="1" style="141" min="9477" max="9477"/>
    <col width="5" customWidth="1" style="141" min="9478" max="9478"/>
    <col width="3.25" customWidth="1" style="141" min="9479" max="9479"/>
    <col width="5" customWidth="1" style="141" min="9480" max="9480"/>
    <col width="3.5" customWidth="1" style="141" min="9481" max="9481"/>
    <col width="2.875" customWidth="1" style="141" min="9482" max="9482"/>
    <col width="6" customWidth="1" style="141" min="9483" max="9483"/>
    <col width="8.125" customWidth="1" style="141" min="9484" max="9484"/>
    <col width="7.375" customWidth="1" style="141" min="9485" max="9485"/>
    <col width="4.5" customWidth="1" style="141" min="9486" max="9488"/>
    <col width="3.625" customWidth="1" style="141" min="9489" max="9489"/>
    <col width="3.5" customWidth="1" style="141" min="9490" max="9490"/>
    <col width="4.625" customWidth="1" style="141" min="9491" max="9491"/>
    <col width="12" customWidth="1" style="141" min="9492" max="9492"/>
    <col width="10" customWidth="1" style="141" min="9493" max="9729"/>
    <col width="2.5" customWidth="1" style="141" min="9730" max="9730"/>
    <col width="13.125" customWidth="1" style="141" min="9731" max="9732"/>
    <col width="10.125" customWidth="1" style="141" min="9733" max="9733"/>
    <col width="5" customWidth="1" style="141" min="9734" max="9734"/>
    <col width="3.25" customWidth="1" style="141" min="9735" max="9735"/>
    <col width="5" customWidth="1" style="141" min="9736" max="9736"/>
    <col width="3.5" customWidth="1" style="141" min="9737" max="9737"/>
    <col width="2.875" customWidth="1" style="141" min="9738" max="9738"/>
    <col width="6" customWidth="1" style="141" min="9739" max="9739"/>
    <col width="8.125" customWidth="1" style="141" min="9740" max="9740"/>
    <col width="7.375" customWidth="1" style="141" min="9741" max="9741"/>
    <col width="4.5" customWidth="1" style="141" min="9742" max="9744"/>
    <col width="3.625" customWidth="1" style="141" min="9745" max="9745"/>
    <col width="3.5" customWidth="1" style="141" min="9746" max="9746"/>
    <col width="4.625" customWidth="1" style="141" min="9747" max="9747"/>
    <col width="12" customWidth="1" style="141" min="9748" max="9748"/>
    <col width="10" customWidth="1" style="141" min="9749" max="9985"/>
    <col width="2.5" customWidth="1" style="141" min="9986" max="9986"/>
    <col width="13.125" customWidth="1" style="141" min="9987" max="9988"/>
    <col width="10.125" customWidth="1" style="141" min="9989" max="9989"/>
    <col width="5" customWidth="1" style="141" min="9990" max="9990"/>
    <col width="3.25" customWidth="1" style="141" min="9991" max="9991"/>
    <col width="5" customWidth="1" style="141" min="9992" max="9992"/>
    <col width="3.5" customWidth="1" style="141" min="9993" max="9993"/>
    <col width="2.875" customWidth="1" style="141" min="9994" max="9994"/>
    <col width="6" customWidth="1" style="141" min="9995" max="9995"/>
    <col width="8.125" customWidth="1" style="141" min="9996" max="9996"/>
    <col width="7.375" customWidth="1" style="141" min="9997" max="9997"/>
    <col width="4.5" customWidth="1" style="141" min="9998" max="10000"/>
    <col width="3.625" customWidth="1" style="141" min="10001" max="10001"/>
    <col width="3.5" customWidth="1" style="141" min="10002" max="10002"/>
    <col width="4.625" customWidth="1" style="141" min="10003" max="10003"/>
    <col width="12" customWidth="1" style="141" min="10004" max="10004"/>
    <col width="10" customWidth="1" style="141" min="10005" max="10241"/>
    <col width="2.5" customWidth="1" style="141" min="10242" max="10242"/>
    <col width="13.125" customWidth="1" style="141" min="10243" max="10244"/>
    <col width="10.125" customWidth="1" style="141" min="10245" max="10245"/>
    <col width="5" customWidth="1" style="141" min="10246" max="10246"/>
    <col width="3.25" customWidth="1" style="141" min="10247" max="10247"/>
    <col width="5" customWidth="1" style="141" min="10248" max="10248"/>
    <col width="3.5" customWidth="1" style="141" min="10249" max="10249"/>
    <col width="2.875" customWidth="1" style="141" min="10250" max="10250"/>
    <col width="6" customWidth="1" style="141" min="10251" max="10251"/>
    <col width="8.125" customWidth="1" style="141" min="10252" max="10252"/>
    <col width="7.375" customWidth="1" style="141" min="10253" max="10253"/>
    <col width="4.5" customWidth="1" style="141" min="10254" max="10256"/>
    <col width="3.625" customWidth="1" style="141" min="10257" max="10257"/>
    <col width="3.5" customWidth="1" style="141" min="10258" max="10258"/>
    <col width="4.625" customWidth="1" style="141" min="10259" max="10259"/>
    <col width="12" customWidth="1" style="141" min="10260" max="10260"/>
    <col width="10" customWidth="1" style="141" min="10261" max="10497"/>
    <col width="2.5" customWidth="1" style="141" min="10498" max="10498"/>
    <col width="13.125" customWidth="1" style="141" min="10499" max="10500"/>
    <col width="10.125" customWidth="1" style="141" min="10501" max="10501"/>
    <col width="5" customWidth="1" style="141" min="10502" max="10502"/>
    <col width="3.25" customWidth="1" style="141" min="10503" max="10503"/>
    <col width="5" customWidth="1" style="141" min="10504" max="10504"/>
    <col width="3.5" customWidth="1" style="141" min="10505" max="10505"/>
    <col width="2.875" customWidth="1" style="141" min="10506" max="10506"/>
    <col width="6" customWidth="1" style="141" min="10507" max="10507"/>
    <col width="8.125" customWidth="1" style="141" min="10508" max="10508"/>
    <col width="7.375" customWidth="1" style="141" min="10509" max="10509"/>
    <col width="4.5" customWidth="1" style="141" min="10510" max="10512"/>
    <col width="3.625" customWidth="1" style="141" min="10513" max="10513"/>
    <col width="3.5" customWidth="1" style="141" min="10514" max="10514"/>
    <col width="4.625" customWidth="1" style="141" min="10515" max="10515"/>
    <col width="12" customWidth="1" style="141" min="10516" max="10516"/>
    <col width="10" customWidth="1" style="141" min="10517" max="10753"/>
    <col width="2.5" customWidth="1" style="141" min="10754" max="10754"/>
    <col width="13.125" customWidth="1" style="141" min="10755" max="10756"/>
    <col width="10.125" customWidth="1" style="141" min="10757" max="10757"/>
    <col width="5" customWidth="1" style="141" min="10758" max="10758"/>
    <col width="3.25" customWidth="1" style="141" min="10759" max="10759"/>
    <col width="5" customWidth="1" style="141" min="10760" max="10760"/>
    <col width="3.5" customWidth="1" style="141" min="10761" max="10761"/>
    <col width="2.875" customWidth="1" style="141" min="10762" max="10762"/>
    <col width="6" customWidth="1" style="141" min="10763" max="10763"/>
    <col width="8.125" customWidth="1" style="141" min="10764" max="10764"/>
    <col width="7.375" customWidth="1" style="141" min="10765" max="10765"/>
    <col width="4.5" customWidth="1" style="141" min="10766" max="10768"/>
    <col width="3.625" customWidth="1" style="141" min="10769" max="10769"/>
    <col width="3.5" customWidth="1" style="141" min="10770" max="10770"/>
    <col width="4.625" customWidth="1" style="141" min="10771" max="10771"/>
    <col width="12" customWidth="1" style="141" min="10772" max="10772"/>
    <col width="10" customWidth="1" style="141" min="10773" max="11009"/>
    <col width="2.5" customWidth="1" style="141" min="11010" max="11010"/>
    <col width="13.125" customWidth="1" style="141" min="11011" max="11012"/>
    <col width="10.125" customWidth="1" style="141" min="11013" max="11013"/>
    <col width="5" customWidth="1" style="141" min="11014" max="11014"/>
    <col width="3.25" customWidth="1" style="141" min="11015" max="11015"/>
    <col width="5" customWidth="1" style="141" min="11016" max="11016"/>
    <col width="3.5" customWidth="1" style="141" min="11017" max="11017"/>
    <col width="2.875" customWidth="1" style="141" min="11018" max="11018"/>
    <col width="6" customWidth="1" style="141" min="11019" max="11019"/>
    <col width="8.125" customWidth="1" style="141" min="11020" max="11020"/>
    <col width="7.375" customWidth="1" style="141" min="11021" max="11021"/>
    <col width="4.5" customWidth="1" style="141" min="11022" max="11024"/>
    <col width="3.625" customWidth="1" style="141" min="11025" max="11025"/>
    <col width="3.5" customWidth="1" style="141" min="11026" max="11026"/>
    <col width="4.625" customWidth="1" style="141" min="11027" max="11027"/>
    <col width="12" customWidth="1" style="141" min="11028" max="11028"/>
    <col width="10" customWidth="1" style="141" min="11029" max="11265"/>
    <col width="2.5" customWidth="1" style="141" min="11266" max="11266"/>
    <col width="13.125" customWidth="1" style="141" min="11267" max="11268"/>
    <col width="10.125" customWidth="1" style="141" min="11269" max="11269"/>
    <col width="5" customWidth="1" style="141" min="11270" max="11270"/>
    <col width="3.25" customWidth="1" style="141" min="11271" max="11271"/>
    <col width="5" customWidth="1" style="141" min="11272" max="11272"/>
    <col width="3.5" customWidth="1" style="141" min="11273" max="11273"/>
    <col width="2.875" customWidth="1" style="141" min="11274" max="11274"/>
    <col width="6" customWidth="1" style="141" min="11275" max="11275"/>
    <col width="8.125" customWidth="1" style="141" min="11276" max="11276"/>
    <col width="7.375" customWidth="1" style="141" min="11277" max="11277"/>
    <col width="4.5" customWidth="1" style="141" min="11278" max="11280"/>
    <col width="3.625" customWidth="1" style="141" min="11281" max="11281"/>
    <col width="3.5" customWidth="1" style="141" min="11282" max="11282"/>
    <col width="4.625" customWidth="1" style="141" min="11283" max="11283"/>
    <col width="12" customWidth="1" style="141" min="11284" max="11284"/>
    <col width="10" customWidth="1" style="141" min="11285" max="11521"/>
    <col width="2.5" customWidth="1" style="141" min="11522" max="11522"/>
    <col width="13.125" customWidth="1" style="141" min="11523" max="11524"/>
    <col width="10.125" customWidth="1" style="141" min="11525" max="11525"/>
    <col width="5" customWidth="1" style="141" min="11526" max="11526"/>
    <col width="3.25" customWidth="1" style="141" min="11527" max="11527"/>
    <col width="5" customWidth="1" style="141" min="11528" max="11528"/>
    <col width="3.5" customWidth="1" style="141" min="11529" max="11529"/>
    <col width="2.875" customWidth="1" style="141" min="11530" max="11530"/>
    <col width="6" customWidth="1" style="141" min="11531" max="11531"/>
    <col width="8.125" customWidth="1" style="141" min="11532" max="11532"/>
    <col width="7.375" customWidth="1" style="141" min="11533" max="11533"/>
    <col width="4.5" customWidth="1" style="141" min="11534" max="11536"/>
    <col width="3.625" customWidth="1" style="141" min="11537" max="11537"/>
    <col width="3.5" customWidth="1" style="141" min="11538" max="11538"/>
    <col width="4.625" customWidth="1" style="141" min="11539" max="11539"/>
    <col width="12" customWidth="1" style="141" min="11540" max="11540"/>
    <col width="10" customWidth="1" style="141" min="11541" max="11777"/>
    <col width="2.5" customWidth="1" style="141" min="11778" max="11778"/>
    <col width="13.125" customWidth="1" style="141" min="11779" max="11780"/>
    <col width="10.125" customWidth="1" style="141" min="11781" max="11781"/>
    <col width="5" customWidth="1" style="141" min="11782" max="11782"/>
    <col width="3.25" customWidth="1" style="141" min="11783" max="11783"/>
    <col width="5" customWidth="1" style="141" min="11784" max="11784"/>
    <col width="3.5" customWidth="1" style="141" min="11785" max="11785"/>
    <col width="2.875" customWidth="1" style="141" min="11786" max="11786"/>
    <col width="6" customWidth="1" style="141" min="11787" max="11787"/>
    <col width="8.125" customWidth="1" style="141" min="11788" max="11788"/>
    <col width="7.375" customWidth="1" style="141" min="11789" max="11789"/>
    <col width="4.5" customWidth="1" style="141" min="11790" max="11792"/>
    <col width="3.625" customWidth="1" style="141" min="11793" max="11793"/>
    <col width="3.5" customWidth="1" style="141" min="11794" max="11794"/>
    <col width="4.625" customWidth="1" style="141" min="11795" max="11795"/>
    <col width="12" customWidth="1" style="141" min="11796" max="11796"/>
    <col width="10" customWidth="1" style="141" min="11797" max="12033"/>
    <col width="2.5" customWidth="1" style="141" min="12034" max="12034"/>
    <col width="13.125" customWidth="1" style="141" min="12035" max="12036"/>
    <col width="10.125" customWidth="1" style="141" min="12037" max="12037"/>
    <col width="5" customWidth="1" style="141" min="12038" max="12038"/>
    <col width="3.25" customWidth="1" style="141" min="12039" max="12039"/>
    <col width="5" customWidth="1" style="141" min="12040" max="12040"/>
    <col width="3.5" customWidth="1" style="141" min="12041" max="12041"/>
    <col width="2.875" customWidth="1" style="141" min="12042" max="12042"/>
    <col width="6" customWidth="1" style="141" min="12043" max="12043"/>
    <col width="8.125" customWidth="1" style="141" min="12044" max="12044"/>
    <col width="7.375" customWidth="1" style="141" min="12045" max="12045"/>
    <col width="4.5" customWidth="1" style="141" min="12046" max="12048"/>
    <col width="3.625" customWidth="1" style="141" min="12049" max="12049"/>
    <col width="3.5" customWidth="1" style="141" min="12050" max="12050"/>
    <col width="4.625" customWidth="1" style="141" min="12051" max="12051"/>
    <col width="12" customWidth="1" style="141" min="12052" max="12052"/>
    <col width="10" customWidth="1" style="141" min="12053" max="12289"/>
    <col width="2.5" customWidth="1" style="141" min="12290" max="12290"/>
    <col width="13.125" customWidth="1" style="141" min="12291" max="12292"/>
    <col width="10.125" customWidth="1" style="141" min="12293" max="12293"/>
    <col width="5" customWidth="1" style="141" min="12294" max="12294"/>
    <col width="3.25" customWidth="1" style="141" min="12295" max="12295"/>
    <col width="5" customWidth="1" style="141" min="12296" max="12296"/>
    <col width="3.5" customWidth="1" style="141" min="12297" max="12297"/>
    <col width="2.875" customWidth="1" style="141" min="12298" max="12298"/>
    <col width="6" customWidth="1" style="141" min="12299" max="12299"/>
    <col width="8.125" customWidth="1" style="141" min="12300" max="12300"/>
    <col width="7.375" customWidth="1" style="141" min="12301" max="12301"/>
    <col width="4.5" customWidth="1" style="141" min="12302" max="12304"/>
    <col width="3.625" customWidth="1" style="141" min="12305" max="12305"/>
    <col width="3.5" customWidth="1" style="141" min="12306" max="12306"/>
    <col width="4.625" customWidth="1" style="141" min="12307" max="12307"/>
    <col width="12" customWidth="1" style="141" min="12308" max="12308"/>
    <col width="10" customWidth="1" style="141" min="12309" max="12545"/>
    <col width="2.5" customWidth="1" style="141" min="12546" max="12546"/>
    <col width="13.125" customWidth="1" style="141" min="12547" max="12548"/>
    <col width="10.125" customWidth="1" style="141" min="12549" max="12549"/>
    <col width="5" customWidth="1" style="141" min="12550" max="12550"/>
    <col width="3.25" customWidth="1" style="141" min="12551" max="12551"/>
    <col width="5" customWidth="1" style="141" min="12552" max="12552"/>
    <col width="3.5" customWidth="1" style="141" min="12553" max="12553"/>
    <col width="2.875" customWidth="1" style="141" min="12554" max="12554"/>
    <col width="6" customWidth="1" style="141" min="12555" max="12555"/>
    <col width="8.125" customWidth="1" style="141" min="12556" max="12556"/>
    <col width="7.375" customWidth="1" style="141" min="12557" max="12557"/>
    <col width="4.5" customWidth="1" style="141" min="12558" max="12560"/>
    <col width="3.625" customWidth="1" style="141" min="12561" max="12561"/>
    <col width="3.5" customWidth="1" style="141" min="12562" max="12562"/>
    <col width="4.625" customWidth="1" style="141" min="12563" max="12563"/>
    <col width="12" customWidth="1" style="141" min="12564" max="12564"/>
    <col width="10" customWidth="1" style="141" min="12565" max="12801"/>
    <col width="2.5" customWidth="1" style="141" min="12802" max="12802"/>
    <col width="13.125" customWidth="1" style="141" min="12803" max="12804"/>
    <col width="10.125" customWidth="1" style="141" min="12805" max="12805"/>
    <col width="5" customWidth="1" style="141" min="12806" max="12806"/>
    <col width="3.25" customWidth="1" style="141" min="12807" max="12807"/>
    <col width="5" customWidth="1" style="141" min="12808" max="12808"/>
    <col width="3.5" customWidth="1" style="141" min="12809" max="12809"/>
    <col width="2.875" customWidth="1" style="141" min="12810" max="12810"/>
    <col width="6" customWidth="1" style="141" min="12811" max="12811"/>
    <col width="8.125" customWidth="1" style="141" min="12812" max="12812"/>
    <col width="7.375" customWidth="1" style="141" min="12813" max="12813"/>
    <col width="4.5" customWidth="1" style="141" min="12814" max="12816"/>
    <col width="3.625" customWidth="1" style="141" min="12817" max="12817"/>
    <col width="3.5" customWidth="1" style="141" min="12818" max="12818"/>
    <col width="4.625" customWidth="1" style="141" min="12819" max="12819"/>
    <col width="12" customWidth="1" style="141" min="12820" max="12820"/>
    <col width="10" customWidth="1" style="141" min="12821" max="13057"/>
    <col width="2.5" customWidth="1" style="141" min="13058" max="13058"/>
    <col width="13.125" customWidth="1" style="141" min="13059" max="13060"/>
    <col width="10.125" customWidth="1" style="141" min="13061" max="13061"/>
    <col width="5" customWidth="1" style="141" min="13062" max="13062"/>
    <col width="3.25" customWidth="1" style="141" min="13063" max="13063"/>
    <col width="5" customWidth="1" style="141" min="13064" max="13064"/>
    <col width="3.5" customWidth="1" style="141" min="13065" max="13065"/>
    <col width="2.875" customWidth="1" style="141" min="13066" max="13066"/>
    <col width="6" customWidth="1" style="141" min="13067" max="13067"/>
    <col width="8.125" customWidth="1" style="141" min="13068" max="13068"/>
    <col width="7.375" customWidth="1" style="141" min="13069" max="13069"/>
    <col width="4.5" customWidth="1" style="141" min="13070" max="13072"/>
    <col width="3.625" customWidth="1" style="141" min="13073" max="13073"/>
    <col width="3.5" customWidth="1" style="141" min="13074" max="13074"/>
    <col width="4.625" customWidth="1" style="141" min="13075" max="13075"/>
    <col width="12" customWidth="1" style="141" min="13076" max="13076"/>
    <col width="10" customWidth="1" style="141" min="13077" max="13313"/>
    <col width="2.5" customWidth="1" style="141" min="13314" max="13314"/>
    <col width="13.125" customWidth="1" style="141" min="13315" max="13316"/>
    <col width="10.125" customWidth="1" style="141" min="13317" max="13317"/>
    <col width="5" customWidth="1" style="141" min="13318" max="13318"/>
    <col width="3.25" customWidth="1" style="141" min="13319" max="13319"/>
    <col width="5" customWidth="1" style="141" min="13320" max="13320"/>
    <col width="3.5" customWidth="1" style="141" min="13321" max="13321"/>
    <col width="2.875" customWidth="1" style="141" min="13322" max="13322"/>
    <col width="6" customWidth="1" style="141" min="13323" max="13323"/>
    <col width="8.125" customWidth="1" style="141" min="13324" max="13324"/>
    <col width="7.375" customWidth="1" style="141" min="13325" max="13325"/>
    <col width="4.5" customWidth="1" style="141" min="13326" max="13328"/>
    <col width="3.625" customWidth="1" style="141" min="13329" max="13329"/>
    <col width="3.5" customWidth="1" style="141" min="13330" max="13330"/>
    <col width="4.625" customWidth="1" style="141" min="13331" max="13331"/>
    <col width="12" customWidth="1" style="141" min="13332" max="13332"/>
    <col width="10" customWidth="1" style="141" min="13333" max="13569"/>
    <col width="2.5" customWidth="1" style="141" min="13570" max="13570"/>
    <col width="13.125" customWidth="1" style="141" min="13571" max="13572"/>
    <col width="10.125" customWidth="1" style="141" min="13573" max="13573"/>
    <col width="5" customWidth="1" style="141" min="13574" max="13574"/>
    <col width="3.25" customWidth="1" style="141" min="13575" max="13575"/>
    <col width="5" customWidth="1" style="141" min="13576" max="13576"/>
    <col width="3.5" customWidth="1" style="141" min="13577" max="13577"/>
    <col width="2.875" customWidth="1" style="141" min="13578" max="13578"/>
    <col width="6" customWidth="1" style="141" min="13579" max="13579"/>
    <col width="8.125" customWidth="1" style="141" min="13580" max="13580"/>
    <col width="7.375" customWidth="1" style="141" min="13581" max="13581"/>
    <col width="4.5" customWidth="1" style="141" min="13582" max="13584"/>
    <col width="3.625" customWidth="1" style="141" min="13585" max="13585"/>
    <col width="3.5" customWidth="1" style="141" min="13586" max="13586"/>
    <col width="4.625" customWidth="1" style="141" min="13587" max="13587"/>
    <col width="12" customWidth="1" style="141" min="13588" max="13588"/>
    <col width="10" customWidth="1" style="141" min="13589" max="13825"/>
    <col width="2.5" customWidth="1" style="141" min="13826" max="13826"/>
    <col width="13.125" customWidth="1" style="141" min="13827" max="13828"/>
    <col width="10.125" customWidth="1" style="141" min="13829" max="13829"/>
    <col width="5" customWidth="1" style="141" min="13830" max="13830"/>
    <col width="3.25" customWidth="1" style="141" min="13831" max="13831"/>
    <col width="5" customWidth="1" style="141" min="13832" max="13832"/>
    <col width="3.5" customWidth="1" style="141" min="13833" max="13833"/>
    <col width="2.875" customWidth="1" style="141" min="13834" max="13834"/>
    <col width="6" customWidth="1" style="141" min="13835" max="13835"/>
    <col width="8.125" customWidth="1" style="141" min="13836" max="13836"/>
    <col width="7.375" customWidth="1" style="141" min="13837" max="13837"/>
    <col width="4.5" customWidth="1" style="141" min="13838" max="13840"/>
    <col width="3.625" customWidth="1" style="141" min="13841" max="13841"/>
    <col width="3.5" customWidth="1" style="141" min="13842" max="13842"/>
    <col width="4.625" customWidth="1" style="141" min="13843" max="13843"/>
    <col width="12" customWidth="1" style="141" min="13844" max="13844"/>
    <col width="10" customWidth="1" style="141" min="13845" max="14081"/>
    <col width="2.5" customWidth="1" style="141" min="14082" max="14082"/>
    <col width="13.125" customWidth="1" style="141" min="14083" max="14084"/>
    <col width="10.125" customWidth="1" style="141" min="14085" max="14085"/>
    <col width="5" customWidth="1" style="141" min="14086" max="14086"/>
    <col width="3.25" customWidth="1" style="141" min="14087" max="14087"/>
    <col width="5" customWidth="1" style="141" min="14088" max="14088"/>
    <col width="3.5" customWidth="1" style="141" min="14089" max="14089"/>
    <col width="2.875" customWidth="1" style="141" min="14090" max="14090"/>
    <col width="6" customWidth="1" style="141" min="14091" max="14091"/>
    <col width="8.125" customWidth="1" style="141" min="14092" max="14092"/>
    <col width="7.375" customWidth="1" style="141" min="14093" max="14093"/>
    <col width="4.5" customWidth="1" style="141" min="14094" max="14096"/>
    <col width="3.625" customWidth="1" style="141" min="14097" max="14097"/>
    <col width="3.5" customWidth="1" style="141" min="14098" max="14098"/>
    <col width="4.625" customWidth="1" style="141" min="14099" max="14099"/>
    <col width="12" customWidth="1" style="141" min="14100" max="14100"/>
    <col width="10" customWidth="1" style="141" min="14101" max="14337"/>
    <col width="2.5" customWidth="1" style="141" min="14338" max="14338"/>
    <col width="13.125" customWidth="1" style="141" min="14339" max="14340"/>
    <col width="10.125" customWidth="1" style="141" min="14341" max="14341"/>
    <col width="5" customWidth="1" style="141" min="14342" max="14342"/>
    <col width="3.25" customWidth="1" style="141" min="14343" max="14343"/>
    <col width="5" customWidth="1" style="141" min="14344" max="14344"/>
    <col width="3.5" customWidth="1" style="141" min="14345" max="14345"/>
    <col width="2.875" customWidth="1" style="141" min="14346" max="14346"/>
    <col width="6" customWidth="1" style="141" min="14347" max="14347"/>
    <col width="8.125" customWidth="1" style="141" min="14348" max="14348"/>
    <col width="7.375" customWidth="1" style="141" min="14349" max="14349"/>
    <col width="4.5" customWidth="1" style="141" min="14350" max="14352"/>
    <col width="3.625" customWidth="1" style="141" min="14353" max="14353"/>
    <col width="3.5" customWidth="1" style="141" min="14354" max="14354"/>
    <col width="4.625" customWidth="1" style="141" min="14355" max="14355"/>
    <col width="12" customWidth="1" style="141" min="14356" max="14356"/>
    <col width="10" customWidth="1" style="141" min="14357" max="14593"/>
    <col width="2.5" customWidth="1" style="141" min="14594" max="14594"/>
    <col width="13.125" customWidth="1" style="141" min="14595" max="14596"/>
    <col width="10.125" customWidth="1" style="141" min="14597" max="14597"/>
    <col width="5" customWidth="1" style="141" min="14598" max="14598"/>
    <col width="3.25" customWidth="1" style="141" min="14599" max="14599"/>
    <col width="5" customWidth="1" style="141" min="14600" max="14600"/>
    <col width="3.5" customWidth="1" style="141" min="14601" max="14601"/>
    <col width="2.875" customWidth="1" style="141" min="14602" max="14602"/>
    <col width="6" customWidth="1" style="141" min="14603" max="14603"/>
    <col width="8.125" customWidth="1" style="141" min="14604" max="14604"/>
    <col width="7.375" customWidth="1" style="141" min="14605" max="14605"/>
    <col width="4.5" customWidth="1" style="141" min="14606" max="14608"/>
    <col width="3.625" customWidth="1" style="141" min="14609" max="14609"/>
    <col width="3.5" customWidth="1" style="141" min="14610" max="14610"/>
    <col width="4.625" customWidth="1" style="141" min="14611" max="14611"/>
    <col width="12" customWidth="1" style="141" min="14612" max="14612"/>
    <col width="10" customWidth="1" style="141" min="14613" max="14849"/>
    <col width="2.5" customWidth="1" style="141" min="14850" max="14850"/>
    <col width="13.125" customWidth="1" style="141" min="14851" max="14852"/>
    <col width="10.125" customWidth="1" style="141" min="14853" max="14853"/>
    <col width="5" customWidth="1" style="141" min="14854" max="14854"/>
    <col width="3.25" customWidth="1" style="141" min="14855" max="14855"/>
    <col width="5" customWidth="1" style="141" min="14856" max="14856"/>
    <col width="3.5" customWidth="1" style="141" min="14857" max="14857"/>
    <col width="2.875" customWidth="1" style="141" min="14858" max="14858"/>
    <col width="6" customWidth="1" style="141" min="14859" max="14859"/>
    <col width="8.125" customWidth="1" style="141" min="14860" max="14860"/>
    <col width="7.375" customWidth="1" style="141" min="14861" max="14861"/>
    <col width="4.5" customWidth="1" style="141" min="14862" max="14864"/>
    <col width="3.625" customWidth="1" style="141" min="14865" max="14865"/>
    <col width="3.5" customWidth="1" style="141" min="14866" max="14866"/>
    <col width="4.625" customWidth="1" style="141" min="14867" max="14867"/>
    <col width="12" customWidth="1" style="141" min="14868" max="14868"/>
    <col width="10" customWidth="1" style="141" min="14869" max="15105"/>
    <col width="2.5" customWidth="1" style="141" min="15106" max="15106"/>
    <col width="13.125" customWidth="1" style="141" min="15107" max="15108"/>
    <col width="10.125" customWidth="1" style="141" min="15109" max="15109"/>
    <col width="5" customWidth="1" style="141" min="15110" max="15110"/>
    <col width="3.25" customWidth="1" style="141" min="15111" max="15111"/>
    <col width="5" customWidth="1" style="141" min="15112" max="15112"/>
    <col width="3.5" customWidth="1" style="141" min="15113" max="15113"/>
    <col width="2.875" customWidth="1" style="141" min="15114" max="15114"/>
    <col width="6" customWidth="1" style="141" min="15115" max="15115"/>
    <col width="8.125" customWidth="1" style="141" min="15116" max="15116"/>
    <col width="7.375" customWidth="1" style="141" min="15117" max="15117"/>
    <col width="4.5" customWidth="1" style="141" min="15118" max="15120"/>
    <col width="3.625" customWidth="1" style="141" min="15121" max="15121"/>
    <col width="3.5" customWidth="1" style="141" min="15122" max="15122"/>
    <col width="4.625" customWidth="1" style="141" min="15123" max="15123"/>
    <col width="12" customWidth="1" style="141" min="15124" max="15124"/>
    <col width="10" customWidth="1" style="141" min="15125" max="15361"/>
    <col width="2.5" customWidth="1" style="141" min="15362" max="15362"/>
    <col width="13.125" customWidth="1" style="141" min="15363" max="15364"/>
    <col width="10.125" customWidth="1" style="141" min="15365" max="15365"/>
    <col width="5" customWidth="1" style="141" min="15366" max="15366"/>
    <col width="3.25" customWidth="1" style="141" min="15367" max="15367"/>
    <col width="5" customWidth="1" style="141" min="15368" max="15368"/>
    <col width="3.5" customWidth="1" style="141" min="15369" max="15369"/>
    <col width="2.875" customWidth="1" style="141" min="15370" max="15370"/>
    <col width="6" customWidth="1" style="141" min="15371" max="15371"/>
    <col width="8.125" customWidth="1" style="141" min="15372" max="15372"/>
    <col width="7.375" customWidth="1" style="141" min="15373" max="15373"/>
    <col width="4.5" customWidth="1" style="141" min="15374" max="15376"/>
    <col width="3.625" customWidth="1" style="141" min="15377" max="15377"/>
    <col width="3.5" customWidth="1" style="141" min="15378" max="15378"/>
    <col width="4.625" customWidth="1" style="141" min="15379" max="15379"/>
    <col width="12" customWidth="1" style="141" min="15380" max="15380"/>
    <col width="10" customWidth="1" style="141" min="15381" max="15617"/>
    <col width="2.5" customWidth="1" style="141" min="15618" max="15618"/>
    <col width="13.125" customWidth="1" style="141" min="15619" max="15620"/>
    <col width="10.125" customWidth="1" style="141" min="15621" max="15621"/>
    <col width="5" customWidth="1" style="141" min="15622" max="15622"/>
    <col width="3.25" customWidth="1" style="141" min="15623" max="15623"/>
    <col width="5" customWidth="1" style="141" min="15624" max="15624"/>
    <col width="3.5" customWidth="1" style="141" min="15625" max="15625"/>
    <col width="2.875" customWidth="1" style="141" min="15626" max="15626"/>
    <col width="6" customWidth="1" style="141" min="15627" max="15627"/>
    <col width="8.125" customWidth="1" style="141" min="15628" max="15628"/>
    <col width="7.375" customWidth="1" style="141" min="15629" max="15629"/>
    <col width="4.5" customWidth="1" style="141" min="15630" max="15632"/>
    <col width="3.625" customWidth="1" style="141" min="15633" max="15633"/>
    <col width="3.5" customWidth="1" style="141" min="15634" max="15634"/>
    <col width="4.625" customWidth="1" style="141" min="15635" max="15635"/>
    <col width="12" customWidth="1" style="141" min="15636" max="15636"/>
    <col width="10" customWidth="1" style="141" min="15637" max="15873"/>
    <col width="2.5" customWidth="1" style="141" min="15874" max="15874"/>
    <col width="13.125" customWidth="1" style="141" min="15875" max="15876"/>
    <col width="10.125" customWidth="1" style="141" min="15877" max="15877"/>
    <col width="5" customWidth="1" style="141" min="15878" max="15878"/>
    <col width="3.25" customWidth="1" style="141" min="15879" max="15879"/>
    <col width="5" customWidth="1" style="141" min="15880" max="15880"/>
    <col width="3.5" customWidth="1" style="141" min="15881" max="15881"/>
    <col width="2.875" customWidth="1" style="141" min="15882" max="15882"/>
    <col width="6" customWidth="1" style="141" min="15883" max="15883"/>
    <col width="8.125" customWidth="1" style="141" min="15884" max="15884"/>
    <col width="7.375" customWidth="1" style="141" min="15885" max="15885"/>
    <col width="4.5" customWidth="1" style="141" min="15886" max="15888"/>
    <col width="3.625" customWidth="1" style="141" min="15889" max="15889"/>
    <col width="3.5" customWidth="1" style="141" min="15890" max="15890"/>
    <col width="4.625" customWidth="1" style="141" min="15891" max="15891"/>
    <col width="12" customWidth="1" style="141" min="15892" max="15892"/>
    <col width="10" customWidth="1" style="141" min="15893" max="16129"/>
    <col width="2.5" customWidth="1" style="141" min="16130" max="16130"/>
    <col width="13.125" customWidth="1" style="141" min="16131" max="16132"/>
    <col width="10.125" customWidth="1" style="141" min="16133" max="16133"/>
    <col width="5" customWidth="1" style="141" min="16134" max="16134"/>
    <col width="3.25" customWidth="1" style="141" min="16135" max="16135"/>
    <col width="5" customWidth="1" style="141" min="16136" max="16136"/>
    <col width="3.5" customWidth="1" style="141" min="16137" max="16137"/>
    <col width="2.875" customWidth="1" style="141" min="16138" max="16138"/>
    <col width="6" customWidth="1" style="141" min="16139" max="16139"/>
    <col width="8.125" customWidth="1" style="141" min="16140" max="16140"/>
    <col width="7.375" customWidth="1" style="141" min="16141" max="16141"/>
    <col width="4.5" customWidth="1" style="141" min="16142" max="16144"/>
    <col width="3.625" customWidth="1" style="141" min="16145" max="16145"/>
    <col width="3.5" customWidth="1" style="141" min="16146" max="16146"/>
    <col width="4.625" customWidth="1" style="141" min="16147" max="16147"/>
    <col width="12" customWidth="1" style="141" min="16148" max="16148"/>
    <col width="10" customWidth="1" style="141" min="16149" max="16384"/>
  </cols>
  <sheetData>
    <row r="1" ht="41.25" customHeight="1" s="643">
      <c r="A1" s="591" t="inlineStr">
        <is>
          <t>バス申請書</t>
        </is>
      </c>
    </row>
    <row r="2" ht="44.25" customHeight="1" s="643" thickBot="1">
      <c r="A2" s="147" t="n"/>
      <c r="B2" s="142" t="n"/>
      <c r="C2" s="142" t="n"/>
      <c r="D2" s="142" t="n"/>
      <c r="E2" s="142" t="n"/>
      <c r="F2" s="142" t="n"/>
      <c r="G2" s="142" t="n"/>
      <c r="H2" s="142" t="n"/>
      <c r="I2" s="142" t="n"/>
      <c r="J2" s="142" t="n"/>
      <c r="K2" s="142" t="n"/>
      <c r="L2" s="142" t="n"/>
      <c r="M2" s="142" t="n"/>
      <c r="N2" s="142" t="n"/>
      <c r="O2" s="142" t="n"/>
      <c r="P2" s="142" t="n"/>
      <c r="Q2" s="142" t="n"/>
      <c r="R2" s="142" t="n"/>
      <c r="S2" s="142" t="n"/>
      <c r="T2" s="142" t="n"/>
    </row>
    <row r="3" ht="20.25" customHeight="1" s="643" thickBot="1">
      <c r="A3" s="147" t="n"/>
      <c r="B3" s="609" t="n"/>
      <c r="C3" s="609" t="n"/>
      <c r="D3" s="609" t="n"/>
      <c r="E3" s="609" t="n"/>
      <c r="F3" s="609" t="n"/>
      <c r="G3" s="609" t="n"/>
      <c r="H3" s="609" t="n"/>
      <c r="I3" s="609" t="n"/>
      <c r="J3" s="609" t="n"/>
      <c r="K3" s="609" t="n"/>
      <c r="L3" s="609" t="n"/>
      <c r="M3" s="609" t="n"/>
      <c r="N3" s="609" t="n"/>
      <c r="O3" s="609" t="n"/>
      <c r="P3" s="807" t="inlineStr">
        <is>
          <t>PD</t>
        </is>
      </c>
      <c r="Q3" s="696" t="n"/>
      <c r="R3" s="712" t="n"/>
      <c r="S3" s="215" t="inlineStr">
        <is>
          <t>担当者</t>
        </is>
      </c>
      <c r="T3" s="609" t="n"/>
      <c r="V3" s="141" t="inlineStr">
        <is>
          <t>地図蔵URL</t>
        </is>
      </c>
    </row>
    <row r="4" ht="18.75" customHeight="1" s="643">
      <c r="A4" s="147" t="n"/>
      <c r="B4" s="278">
        <f>勤務表!S4</f>
        <v/>
      </c>
      <c r="C4" s="144" t="n"/>
      <c r="D4" s="144" t="n"/>
      <c r="E4" s="144" t="n"/>
      <c r="F4" s="228" t="n"/>
      <c r="G4" s="609" t="n"/>
      <c r="H4" s="609" t="n"/>
      <c r="I4" s="609" t="n"/>
      <c r="J4" s="609" t="n"/>
      <c r="K4" s="609" t="n"/>
      <c r="L4" s="609" t="n"/>
      <c r="M4" s="609" t="n"/>
      <c r="N4" s="609" t="n"/>
      <c r="O4" s="609" t="n"/>
      <c r="P4" s="595" t="inlineStr">
        <is>
          <t>印</t>
        </is>
      </c>
      <c r="Q4" s="699" t="n"/>
      <c r="R4" s="808" t="n"/>
      <c r="S4" s="604" t="inlineStr">
        <is>
          <t>印</t>
        </is>
      </c>
      <c r="T4" s="609" t="n"/>
      <c r="V4" s="312" t="inlineStr">
        <is>
          <t>https://japonyol.net/distance.html</t>
        </is>
      </c>
    </row>
    <row r="5" ht="31.5" customHeight="1" s="643">
      <c r="A5" s="147" t="n"/>
      <c r="B5" s="145" t="inlineStr">
        <is>
          <t>代表取締役　　坂本　一也　様</t>
        </is>
      </c>
      <c r="C5" s="146" t="n"/>
      <c r="D5" s="146" t="n"/>
      <c r="E5" s="230" t="n"/>
      <c r="F5" s="229" t="n"/>
      <c r="G5" s="609" t="n"/>
      <c r="H5" s="147" t="n"/>
      <c r="I5" s="147" t="n"/>
      <c r="J5" s="147" t="n"/>
      <c r="K5" s="609" t="n"/>
      <c r="L5" s="609" t="n"/>
      <c r="M5" s="609" t="n"/>
      <c r="N5" s="609" t="n"/>
      <c r="O5" s="609" t="n"/>
      <c r="P5" s="701" t="n"/>
      <c r="R5" s="809" t="n"/>
      <c r="S5" s="754" t="n"/>
      <c r="T5" s="609" t="n"/>
      <c r="V5" s="141" t="inlineStr">
        <is>
          <t>上記サイトから自宅から最寄り駅までの直線距離を測定し、バス申請書に張り付けてください</t>
        </is>
      </c>
    </row>
    <row r="6" ht="10.5" customHeight="1" s="643" thickBot="1">
      <c r="A6" s="147" t="n"/>
      <c r="B6" s="609" t="n"/>
      <c r="C6" s="609" t="n"/>
      <c r="D6" s="609" t="n"/>
      <c r="E6" s="609" t="n"/>
      <c r="F6" s="609" t="n"/>
      <c r="G6" s="609" t="n"/>
      <c r="H6" s="609" t="n"/>
      <c r="I6" s="609" t="n"/>
      <c r="J6" s="609" t="n"/>
      <c r="K6" s="609" t="n"/>
      <c r="L6" s="609" t="n"/>
      <c r="M6" s="609" t="n"/>
      <c r="N6" s="609" t="n"/>
      <c r="O6" s="609" t="n"/>
      <c r="P6" s="810" t="n"/>
      <c r="Q6" s="811" t="n"/>
      <c r="R6" s="812" t="n"/>
      <c r="S6" s="813" t="n"/>
      <c r="T6" s="609" t="n"/>
    </row>
    <row r="7" ht="14.25" customHeight="1" s="643">
      <c r="A7" s="147" t="n"/>
      <c r="B7" s="609" t="n"/>
      <c r="C7" s="609" t="n"/>
      <c r="D7" s="609" t="n"/>
      <c r="E7" s="609" t="n"/>
      <c r="F7" s="609" t="n"/>
      <c r="G7" s="609" t="n"/>
      <c r="H7" s="609" t="n"/>
      <c r="I7" s="609" t="n"/>
      <c r="J7" s="609" t="n"/>
      <c r="K7" s="609" t="n"/>
      <c r="L7" s="609" t="n"/>
      <c r="M7" s="609" t="n"/>
      <c r="N7" s="609" t="n"/>
      <c r="O7" s="609" t="n"/>
      <c r="P7" s="609" t="n"/>
      <c r="Q7" s="609" t="n"/>
      <c r="R7" s="609" t="n"/>
      <c r="S7" s="609" t="n"/>
      <c r="T7" s="609" t="n"/>
      <c r="X7" s="148" t="n"/>
    </row>
    <row r="8" ht="14.25" customHeight="1" s="643" thickBot="1">
      <c r="A8" s="214" t="n"/>
      <c r="B8" s="635" t="n"/>
      <c r="C8" s="635" t="n"/>
      <c r="D8" s="635" t="n"/>
      <c r="E8" s="635" t="n"/>
      <c r="F8" s="635" t="n"/>
      <c r="G8" s="635" t="n"/>
      <c r="H8" s="635" t="n"/>
      <c r="I8" s="635" t="n"/>
      <c r="J8" s="635" t="n"/>
      <c r="K8" s="635" t="n"/>
      <c r="L8" s="635" t="n"/>
      <c r="M8" s="635" t="n"/>
      <c r="N8" s="635" t="n"/>
      <c r="O8" s="635" t="n"/>
      <c r="P8" s="635" t="n"/>
      <c r="Q8" s="635" t="n"/>
      <c r="R8" s="635" t="n"/>
      <c r="S8" s="635" t="n"/>
      <c r="T8" s="635" t="n"/>
    </row>
    <row r="9" ht="33" customHeight="1" s="643" thickBot="1">
      <c r="A9" s="607" t="inlineStr">
        <is>
          <t>申請日</t>
        </is>
      </c>
      <c r="B9" s="814" t="n"/>
      <c r="C9" s="815">
        <f>Data!T3</f>
        <v/>
      </c>
      <c r="D9" s="696" t="n"/>
      <c r="E9" s="696" t="n"/>
      <c r="F9" s="696" t="n"/>
      <c r="G9" s="696" t="n"/>
      <c r="H9" s="696" t="n"/>
      <c r="I9" s="696" t="n"/>
      <c r="J9" s="696" t="n"/>
      <c r="K9" s="696" t="n"/>
      <c r="L9" s="696" t="n"/>
      <c r="M9" s="696" t="n"/>
      <c r="N9" s="696" t="n"/>
      <c r="O9" s="696" t="n"/>
      <c r="P9" s="696" t="n"/>
      <c r="Q9" s="696" t="n"/>
      <c r="R9" s="696" t="n"/>
      <c r="S9" s="696" t="n"/>
      <c r="T9" s="712" t="n"/>
    </row>
    <row r="10" ht="13.5" customHeight="1" s="643">
      <c r="A10" s="627" t="inlineStr">
        <is>
          <t>氏名</t>
        </is>
      </c>
      <c r="B10" s="808" t="n"/>
      <c r="C10" s="217" t="inlineStr">
        <is>
          <t xml:space="preserve">  </t>
        </is>
      </c>
      <c r="D10" s="152" t="n"/>
      <c r="E10" s="152" t="n"/>
      <c r="F10" s="152" t="n"/>
      <c r="G10" s="152" t="n"/>
      <c r="H10" s="152" t="n"/>
      <c r="I10" s="152" t="n"/>
      <c r="J10" s="152" t="n"/>
      <c r="K10" s="152" t="n"/>
      <c r="L10" s="152" t="n"/>
      <c r="M10" s="152" t="n"/>
      <c r="N10" s="152" t="n"/>
      <c r="O10" s="152" t="n"/>
      <c r="P10" s="152" t="n"/>
      <c r="Q10" s="152" t="n"/>
      <c r="R10" s="152" t="n"/>
      <c r="S10" s="152" t="n"/>
      <c r="T10" s="218" t="n"/>
    </row>
    <row r="11" ht="13.5" customHeight="1" s="643">
      <c r="A11" s="701" t="n"/>
      <c r="B11" s="809" t="n"/>
      <c r="C11" s="217" t="n"/>
      <c r="D11" s="152" t="n"/>
      <c r="E11" s="152" t="n"/>
      <c r="F11" s="615">
        <f>勤務表!S5</f>
        <v/>
      </c>
      <c r="M11" s="614" t="inlineStr">
        <is>
          <t>印</t>
        </is>
      </c>
      <c r="O11" s="152" t="n"/>
      <c r="P11" s="152" t="n"/>
      <c r="Q11" s="152" t="n"/>
      <c r="R11" s="152" t="n"/>
      <c r="S11" s="152" t="n"/>
      <c r="T11" s="218" t="n"/>
    </row>
    <row r="12" ht="13.5" customHeight="1" s="643">
      <c r="A12" s="701" t="n"/>
      <c r="B12" s="809" t="n"/>
      <c r="C12" s="217" t="n"/>
      <c r="D12" s="152" t="n"/>
      <c r="E12" s="152" t="n"/>
      <c r="O12" s="152" t="n"/>
      <c r="P12" s="152" t="n"/>
      <c r="Q12" s="152" t="n"/>
      <c r="R12" s="152" t="n"/>
      <c r="S12" s="152" t="n"/>
      <c r="T12" s="218" t="n"/>
    </row>
    <row r="13" ht="14.25" customHeight="1" s="643" thickBot="1">
      <c r="A13" s="810" t="n"/>
      <c r="B13" s="812" t="n"/>
      <c r="C13" s="153" t="n"/>
      <c r="D13" s="154" t="n"/>
      <c r="E13" s="154" t="n"/>
      <c r="F13" s="154" t="n"/>
      <c r="G13" s="154" t="n"/>
      <c r="H13" s="154" t="n"/>
      <c r="I13" s="154" t="n"/>
      <c r="J13" s="154" t="n"/>
      <c r="K13" s="154" t="n"/>
      <c r="L13" s="154" t="n"/>
      <c r="M13" s="154" t="n"/>
      <c r="N13" s="154" t="n"/>
      <c r="O13" s="154" t="n"/>
      <c r="P13" s="154" t="n"/>
      <c r="Q13" s="154" t="n"/>
      <c r="R13" s="154" t="n"/>
      <c r="S13" s="154" t="n"/>
      <c r="T13" s="219" t="n"/>
    </row>
    <row r="14" ht="13.5" customHeight="1" s="643">
      <c r="A14" s="627" t="inlineStr">
        <is>
          <t>適用期間</t>
        </is>
      </c>
      <c r="B14" s="808" t="n"/>
      <c r="C14" s="149" t="n"/>
      <c r="D14" s="609" t="n"/>
      <c r="E14" s="609" t="n"/>
      <c r="F14" s="609" t="n"/>
      <c r="G14" s="609" t="n"/>
      <c r="H14" s="609" t="n"/>
      <c r="I14" s="609" t="n"/>
      <c r="J14" s="609" t="n"/>
      <c r="K14" s="609" t="n"/>
      <c r="L14" s="609" t="n"/>
      <c r="M14" s="609" t="n"/>
      <c r="N14" s="609" t="n"/>
      <c r="O14" s="609" t="n"/>
      <c r="P14" s="609" t="n"/>
      <c r="Q14" s="609" t="n"/>
      <c r="R14" s="609" t="n"/>
      <c r="S14" s="609" t="n"/>
      <c r="T14" s="218" t="n"/>
    </row>
    <row r="15" ht="13.5" customHeight="1" s="643">
      <c r="A15" s="701" t="n"/>
      <c r="B15" s="809" t="n"/>
      <c r="C15" s="149" t="n"/>
      <c r="D15" s="816">
        <f>勤務表!$A$8</f>
        <v/>
      </c>
      <c r="K15" s="150" t="inlineStr">
        <is>
          <t>～</t>
        </is>
      </c>
      <c r="L15" s="816">
        <f>DATE(YEAR(D15),MONTH(D15)+1,1)-1</f>
        <v/>
      </c>
      <c r="S15" s="817" t="n"/>
      <c r="T15" s="218" t="n"/>
    </row>
    <row r="16" ht="14.25" customHeight="1" s="643" thickBot="1">
      <c r="A16" s="810" t="n"/>
      <c r="B16" s="812" t="n"/>
      <c r="C16" s="220" t="n"/>
      <c r="D16" s="635" t="n"/>
      <c r="E16" s="635" t="n"/>
      <c r="F16" s="635" t="n"/>
      <c r="G16" s="635" t="n"/>
      <c r="H16" s="635" t="n"/>
      <c r="I16" s="635" t="n"/>
      <c r="J16" s="635" t="n"/>
      <c r="K16" s="635" t="n"/>
      <c r="L16" s="635" t="n"/>
      <c r="M16" s="635" t="n"/>
      <c r="N16" s="635" t="n"/>
      <c r="O16" s="635" t="n"/>
      <c r="P16" s="635" t="n"/>
      <c r="Q16" s="635" t="n"/>
      <c r="R16" s="635" t="n"/>
      <c r="S16" s="635" t="n"/>
      <c r="T16" s="219" t="n"/>
    </row>
    <row r="17">
      <c r="A17" s="633" t="inlineStr">
        <is>
          <t>距離</t>
        </is>
      </c>
      <c r="B17" s="809" t="n"/>
      <c r="C17" s="150" t="n"/>
      <c r="D17" s="609" t="n"/>
      <c r="E17" s="609" t="n"/>
      <c r="F17" s="609" t="n"/>
      <c r="G17" s="609" t="n"/>
      <c r="H17" s="609" t="n"/>
      <c r="I17" s="609" t="n"/>
      <c r="J17" s="609" t="n"/>
      <c r="K17" s="609" t="n"/>
      <c r="L17" s="609" t="n"/>
      <c r="M17" s="609" t="n"/>
      <c r="N17" s="609" t="n"/>
      <c r="O17" s="609" t="n"/>
      <c r="P17" s="609" t="n"/>
      <c r="Q17" s="609" t="n"/>
      <c r="R17" s="609" t="n"/>
      <c r="S17" s="609" t="n"/>
      <c r="T17" s="218" t="n"/>
    </row>
    <row r="18">
      <c r="A18" s="701" t="n"/>
      <c r="B18" s="809" t="n"/>
      <c r="C18" s="150" t="n"/>
      <c r="D18" s="609" t="n"/>
      <c r="E18" s="609" t="n"/>
      <c r="F18" s="609" t="n"/>
      <c r="G18" s="609" t="n"/>
      <c r="H18" s="609" t="n"/>
      <c r="I18" s="609" t="n"/>
      <c r="J18" s="609" t="n"/>
      <c r="K18" s="617" t="n">
        <v>2.33</v>
      </c>
      <c r="M18" s="609" t="n"/>
      <c r="N18" s="609" t="n"/>
      <c r="O18" s="609" t="n"/>
      <c r="P18" s="609" t="n"/>
      <c r="Q18" s="609" t="n"/>
      <c r="R18" s="609" t="n"/>
      <c r="S18" s="609" t="n"/>
      <c r="T18" s="218" t="n"/>
    </row>
    <row r="19" ht="23.25" customHeight="1" s="643" thickBot="1">
      <c r="A19" s="810" t="n"/>
      <c r="B19" s="812" t="n"/>
      <c r="C19" s="221" t="n"/>
      <c r="D19" s="635" t="n"/>
      <c r="E19" s="717" t="n"/>
      <c r="F19" s="717" t="n"/>
      <c r="G19" s="717" t="n"/>
      <c r="H19" s="222" t="n"/>
      <c r="I19" s="222" t="n"/>
      <c r="J19" s="222" t="n"/>
      <c r="K19" s="717" t="n"/>
      <c r="L19" s="717" t="n"/>
      <c r="M19" s="223" t="inlineStr">
        <is>
          <t>Kｍ</t>
        </is>
      </c>
      <c r="N19" s="223" t="n"/>
      <c r="O19" s="635" t="n"/>
      <c r="P19" s="635" t="n"/>
      <c r="Q19" s="635" t="n"/>
      <c r="R19" s="635" t="n"/>
      <c r="S19" s="635" t="n"/>
      <c r="T19" s="219" t="n"/>
      <c r="U19" s="456" t="inlineStr">
        <is>
          <t>※バスの申請は直線で2.0km以上から可能です。</t>
        </is>
      </c>
    </row>
    <row r="20" ht="19.5" customFormat="1" customHeight="1" s="224">
      <c r="A20" s="818" t="inlineStr">
        <is>
          <t>地図</t>
        </is>
      </c>
      <c r="B20" s="699" t="n"/>
      <c r="C20" s="699" t="n"/>
      <c r="D20" s="699" t="n"/>
      <c r="E20" s="699" t="n"/>
      <c r="F20" s="699" t="n"/>
      <c r="G20" s="699" t="n"/>
      <c r="H20" s="699" t="n"/>
      <c r="I20" s="699" t="n"/>
      <c r="J20" s="699" t="n"/>
      <c r="K20" s="699" t="n"/>
      <c r="L20" s="699" t="n"/>
      <c r="M20" s="699" t="n"/>
      <c r="N20" s="699" t="n"/>
      <c r="O20" s="699" t="n"/>
      <c r="P20" s="699" t="n"/>
      <c r="Q20" s="699" t="n"/>
      <c r="R20" s="699" t="n"/>
      <c r="S20" s="699" t="n"/>
      <c r="T20" s="700" t="n"/>
    </row>
    <row r="21" ht="9" customHeight="1" s="643">
      <c r="A21" s="225" t="n"/>
      <c r="B21" s="226" t="n"/>
      <c r="C21" s="226" t="n"/>
      <c r="D21" s="226" t="n"/>
      <c r="E21" s="226" t="n"/>
      <c r="F21" s="226" t="n"/>
      <c r="G21" s="226" t="n"/>
      <c r="H21" s="226" t="n"/>
      <c r="I21" s="226" t="n"/>
      <c r="J21" s="226" t="n"/>
      <c r="K21" s="226" t="n"/>
      <c r="L21" s="226" t="n"/>
      <c r="M21" s="226" t="n"/>
      <c r="N21" s="226" t="n"/>
      <c r="O21" s="226" t="n"/>
      <c r="P21" s="226" t="n"/>
      <c r="Q21" s="226" t="n"/>
      <c r="R21" s="226" t="n"/>
      <c r="S21" s="226" t="n"/>
      <c r="T21" s="227" t="n"/>
    </row>
    <row r="22">
      <c r="A22" s="819" t="n"/>
      <c r="B22" s="820" t="n"/>
      <c r="C22" s="820" t="n"/>
      <c r="D22" s="820" t="n"/>
      <c r="E22" s="820" t="n"/>
      <c r="F22" s="820" t="n"/>
      <c r="G22" s="820" t="n"/>
      <c r="H22" s="820" t="n"/>
      <c r="I22" s="820" t="n"/>
      <c r="J22" s="820" t="n"/>
      <c r="K22" s="820" t="n"/>
      <c r="L22" s="820" t="n"/>
      <c r="M22" s="820" t="n"/>
      <c r="N22" s="820" t="n"/>
      <c r="O22" s="820" t="n"/>
      <c r="P22" s="820" t="n"/>
      <c r="Q22" s="820" t="n"/>
      <c r="R22" s="820" t="n"/>
      <c r="S22" s="820" t="n"/>
      <c r="T22" s="821" t="n"/>
    </row>
    <row r="23">
      <c r="A23" s="701" t="n"/>
      <c r="T23" s="702" t="n"/>
    </row>
    <row r="24">
      <c r="A24" s="701" t="n"/>
      <c r="T24" s="702" t="n"/>
    </row>
    <row r="25">
      <c r="A25" s="701" t="n"/>
      <c r="T25" s="702" t="n"/>
    </row>
    <row r="26">
      <c r="A26" s="701" t="n"/>
      <c r="T26" s="702" t="n"/>
    </row>
    <row r="27">
      <c r="A27" s="701" t="n"/>
      <c r="T27" s="702" t="n"/>
    </row>
    <row r="28">
      <c r="A28" s="701" t="n"/>
      <c r="T28" s="702" t="n"/>
    </row>
    <row r="29">
      <c r="A29" s="701" t="n"/>
      <c r="T29" s="702" t="n"/>
    </row>
    <row r="30">
      <c r="A30" s="701" t="n"/>
      <c r="T30" s="702" t="n"/>
    </row>
    <row r="31">
      <c r="A31" s="701" t="n"/>
      <c r="T31" s="702" t="n"/>
    </row>
    <row r="32">
      <c r="A32" s="701" t="n"/>
      <c r="T32" s="702" t="n"/>
    </row>
    <row r="33">
      <c r="A33" s="701" t="n"/>
      <c r="T33" s="702" t="n"/>
    </row>
    <row r="34">
      <c r="A34" s="701" t="n"/>
      <c r="T34" s="702" t="n"/>
    </row>
    <row r="35">
      <c r="A35" s="701" t="n"/>
      <c r="T35" s="702" t="n"/>
    </row>
    <row r="36">
      <c r="A36" s="701" t="n"/>
      <c r="T36" s="702" t="n"/>
    </row>
    <row r="37">
      <c r="A37" s="701" t="n"/>
      <c r="T37" s="702" t="n"/>
    </row>
    <row r="38" ht="90.75" customHeight="1" s="643" thickBot="1">
      <c r="A38" s="822" t="n"/>
      <c r="B38" s="717" t="n"/>
      <c r="C38" s="717" t="n"/>
      <c r="D38" s="717" t="n"/>
      <c r="E38" s="717" t="n"/>
      <c r="F38" s="717" t="n"/>
      <c r="G38" s="717" t="n"/>
      <c r="H38" s="717" t="n"/>
      <c r="I38" s="717" t="n"/>
      <c r="J38" s="717" t="n"/>
      <c r="K38" s="717" t="n"/>
      <c r="L38" s="717" t="n"/>
      <c r="M38" s="717" t="n"/>
      <c r="N38" s="717" t="n"/>
      <c r="O38" s="717" t="n"/>
      <c r="P38" s="717" t="n"/>
      <c r="Q38" s="717" t="n"/>
      <c r="R38" s="717" t="n"/>
      <c r="S38" s="717" t="n"/>
      <c r="T38" s="823" t="n"/>
    </row>
    <row r="39" ht="23.25" customHeight="1" s="643">
      <c r="A39" s="147" t="n"/>
      <c r="B39" s="147" t="n"/>
      <c r="C39" s="147" t="n"/>
      <c r="D39" s="147" t="n"/>
      <c r="E39" s="147" t="n"/>
      <c r="F39" s="147" t="n"/>
      <c r="G39" s="147" t="n"/>
      <c r="H39" s="147" t="n"/>
      <c r="I39" s="147" t="n"/>
      <c r="J39" s="147" t="n"/>
      <c r="K39" s="609" t="n"/>
    </row>
    <row r="40">
      <c r="A40" s="147" t="n"/>
      <c r="B40" s="147" t="n"/>
      <c r="C40" s="147" t="n"/>
      <c r="D40" s="147" t="n"/>
      <c r="E40" s="147" t="n"/>
      <c r="F40" s="147" t="n"/>
      <c r="G40" s="147" t="n"/>
      <c r="H40" s="147" t="n"/>
      <c r="I40" s="147" t="n"/>
      <c r="J40" s="147" t="n"/>
      <c r="K40" s="147" t="n"/>
      <c r="L40" s="147" t="n"/>
      <c r="M40" s="147" t="n"/>
      <c r="N40" s="147" t="n"/>
      <c r="O40" s="147" t="n"/>
      <c r="P40" s="147" t="n"/>
      <c r="Q40" s="147" t="n"/>
      <c r="R40" s="147" t="n"/>
      <c r="S40" s="147" t="n"/>
      <c r="T40" s="147" t="n"/>
    </row>
    <row r="41">
      <c r="A41" s="147" t="n"/>
      <c r="B41" s="147" t="n"/>
      <c r="C41" s="147" t="n"/>
      <c r="D41" s="147" t="n"/>
      <c r="E41" s="147" t="n"/>
      <c r="F41" s="147" t="n"/>
      <c r="G41" s="147" t="n"/>
      <c r="H41" s="147" t="n"/>
      <c r="I41" s="147" t="n"/>
      <c r="J41" s="147" t="n"/>
      <c r="K41" s="147" t="n"/>
      <c r="L41" s="147" t="n"/>
      <c r="M41" s="147" t="n"/>
      <c r="N41" s="147" t="n"/>
      <c r="O41" s="147" t="n"/>
      <c r="P41" s="147" t="n"/>
      <c r="Q41" s="147" t="n"/>
      <c r="R41" s="147" t="n"/>
      <c r="S41" s="147" t="n"/>
      <c r="T41" s="147" t="n"/>
    </row>
    <row r="42">
      <c r="A42" s="147" t="n"/>
      <c r="B42" s="147" t="n"/>
      <c r="C42" s="147" t="n"/>
      <c r="D42" s="147" t="n"/>
      <c r="E42" s="147" t="n"/>
      <c r="F42" s="147" t="n"/>
      <c r="G42" s="147" t="n"/>
      <c r="H42" s="147" t="n"/>
      <c r="I42" s="147" t="n"/>
      <c r="J42" s="147" t="n"/>
      <c r="K42" s="147" t="n"/>
      <c r="L42" s="147" t="n"/>
      <c r="M42" s="147" t="n"/>
      <c r="N42" s="147" t="n"/>
      <c r="O42" s="147" t="n"/>
      <c r="P42" s="147" t="n"/>
      <c r="Q42" s="147" t="n"/>
      <c r="R42" s="147" t="n"/>
      <c r="S42" s="147" t="n"/>
      <c r="T42" s="147" t="n"/>
    </row>
    <row r="43">
      <c r="A43" s="147" t="n"/>
      <c r="B43" s="147" t="n"/>
      <c r="C43" s="147" t="n"/>
      <c r="D43" s="147" t="n"/>
      <c r="E43" s="147" t="n"/>
      <c r="F43" s="147" t="n"/>
      <c r="G43" s="147" t="n"/>
      <c r="H43" s="147" t="n"/>
      <c r="I43" s="147" t="n"/>
      <c r="J43" s="147" t="n"/>
      <c r="K43" s="147" t="n"/>
      <c r="L43" s="147" t="n"/>
      <c r="M43" s="147" t="n"/>
      <c r="N43" s="147" t="n"/>
      <c r="O43" s="147" t="n"/>
      <c r="P43" s="147" t="n"/>
      <c r="Q43" s="147" t="n"/>
      <c r="R43" s="147" t="n"/>
      <c r="S43" s="147" t="n"/>
      <c r="T43" s="147" t="n"/>
    </row>
  </sheetData>
  <mergeCells count="18">
    <mergeCell ref="K39:T39"/>
    <mergeCell ref="C9:T9"/>
    <mergeCell ref="D15:J15"/>
    <mergeCell ref="L15:R15"/>
    <mergeCell ref="M11:N12"/>
    <mergeCell ref="F11:L12"/>
    <mergeCell ref="K18:L19"/>
    <mergeCell ref="A22:T38"/>
    <mergeCell ref="A14:B16"/>
    <mergeCell ref="A17:B19"/>
    <mergeCell ref="D19:G19"/>
    <mergeCell ref="A20:T20"/>
    <mergeCell ref="A10:B13"/>
    <mergeCell ref="A1:T1"/>
    <mergeCell ref="P3:R3"/>
    <mergeCell ref="P4:R6"/>
    <mergeCell ref="S4:S6"/>
    <mergeCell ref="A9:B9"/>
  </mergeCells>
  <conditionalFormatting sqref="K18:L19">
    <cfRule type="containsBlanks" priority="2" dxfId="1">
      <formula>LEN(TRIM(K18))=0</formula>
    </cfRule>
    <cfRule type="cellIs" priority="1" operator="lessThan" dxfId="0">
      <formula>2</formula>
    </cfRule>
  </conditionalFormatting>
  <hyperlinks>
    <hyperlink ref="V4" r:id="rId1"/>
  </hyperlinks>
  <pageMargins left="0" right="0" top="1.181102362204725" bottom="1.181102362204725" header="1.181102362204725" footer="1.181102362204725"/>
  <pageSetup orientation="portrait" paperSize="9" scale="91" fitToHeight="0" firstPageNumber="0" pageOrder="overThenDown" blackAndWhite="1" horizontalDpi="300" verticalDpi="300"/>
</worksheet>
</file>

<file path=xl/worksheets/sheet8.xml><?xml version="1.0" encoding="utf-8"?>
<worksheet xmlns="http://schemas.openxmlformats.org/spreadsheetml/2006/main">
  <sheetPr codeName="Sheet8">
    <outlinePr summaryBelow="1" summaryRight="1"/>
    <pageSetUpPr/>
  </sheetPr>
  <dimension ref="A2:X152"/>
  <sheetViews>
    <sheetView workbookViewId="0">
      <selection activeCell="Q31" sqref="Q31"/>
    </sheetView>
  </sheetViews>
  <sheetFormatPr baseColWidth="8" defaultRowHeight="13.5"/>
  <cols>
    <col width="5.25" bestFit="1" customWidth="1" style="643" min="1" max="1"/>
    <col width="6.125" customWidth="1" style="643" min="2" max="2"/>
    <col width="4.875" customWidth="1" style="643" min="3" max="6"/>
    <col width="10.75" customWidth="1" style="643" min="7" max="7"/>
    <col width="11" customWidth="1" style="824" min="8" max="8"/>
    <col width="10.75" customWidth="1" style="643" min="9" max="9"/>
    <col width="8.125" bestFit="1" customWidth="1" style="643" min="10" max="10"/>
    <col width="10.75" customWidth="1" style="643" min="11" max="11"/>
    <col width="5.625" customWidth="1" style="643" min="12" max="12"/>
    <col width="5.75" customWidth="1" style="643" min="13" max="13"/>
    <col width="10.75" customWidth="1" style="643" min="14" max="14"/>
    <col width="7" customWidth="1" style="643" min="15" max="15"/>
    <col width="11.25" customWidth="1" style="643" min="16" max="16"/>
    <col width="18" customWidth="1" style="326" min="17" max="17"/>
    <col width="4.125" customWidth="1" style="643" min="18" max="18"/>
    <col width="10.125" customWidth="1" style="643" min="19" max="19"/>
    <col width="10.5" bestFit="1" customWidth="1" style="643" min="20" max="20"/>
    <col width="9.5" bestFit="1" customWidth="1" style="643" min="21" max="21"/>
    <col width="10.5" bestFit="1" customWidth="1" style="643" min="22" max="22"/>
    <col width="15.25" bestFit="1" customWidth="1" style="643" min="23" max="23"/>
  </cols>
  <sheetData>
    <row r="2">
      <c r="K2" s="322" t="inlineStr">
        <is>
          <t>■有給休暇</t>
        </is>
      </c>
    </row>
    <row r="3">
      <c r="A3" s="120" t="inlineStr">
        <is>
          <t>半振</t>
        </is>
      </c>
      <c r="B3" s="120" t="inlineStr">
        <is>
          <t>半有</t>
        </is>
      </c>
      <c r="C3" s="120" t="inlineStr">
        <is>
          <t>規定</t>
        </is>
      </c>
      <c r="D3" s="120" t="inlineStr">
        <is>
          <t>振替</t>
        </is>
      </c>
      <c r="E3" s="120" t="inlineStr">
        <is>
          <t>慶弔</t>
        </is>
      </c>
      <c r="F3" s="120" t="inlineStr">
        <is>
          <t>有給</t>
        </is>
      </c>
      <c r="G3" s="120" t="inlineStr">
        <is>
          <t>状態</t>
        </is>
      </c>
      <c r="H3" s="825" t="inlineStr">
        <is>
          <t>日付</t>
        </is>
      </c>
      <c r="I3" s="120" t="inlineStr">
        <is>
          <t>理由</t>
        </is>
      </c>
      <c r="K3" s="122" t="inlineStr">
        <is>
          <t>No</t>
        </is>
      </c>
      <c r="L3" s="123" t="inlineStr">
        <is>
          <t>Start</t>
        </is>
      </c>
      <c r="M3" s="123" t="inlineStr">
        <is>
          <t>End</t>
        </is>
      </c>
      <c r="N3" s="123" t="n">
        <v>0</v>
      </c>
      <c r="O3" s="124" t="inlineStr">
        <is>
          <t>=No+1行</t>
        </is>
      </c>
      <c r="P3" s="123" t="inlineStr">
        <is>
          <t>End Day</t>
        </is>
      </c>
      <c r="Q3" s="322" t="n">
        <v>0</v>
      </c>
      <c r="T3" s="326">
        <f>VLOOKUP(MAX($T$4:$T$34),$T$4:$W$34,3,FALSE)</f>
        <v/>
      </c>
    </row>
    <row r="4">
      <c r="A4" s="322">
        <f>COUNTIF($G$4:$G4,"振替休暇（半日）")</f>
        <v/>
      </c>
      <c r="B4" s="322">
        <f>COUNTIF($G$4:$G4,"有給休暇（半日）")</f>
        <v/>
      </c>
      <c r="C4" s="322">
        <f>COUNTIF($G$4:$G4,"会社規定休")</f>
        <v/>
      </c>
      <c r="D4" s="322">
        <f>COUNTIF($G$4:$G4,"振替休暇")</f>
        <v/>
      </c>
      <c r="E4" s="322">
        <f>COUNTIF($G$4:$G4,"慶弔休暇")</f>
        <v/>
      </c>
      <c r="F4" s="322">
        <f>COUNTIF($G$4:$G4,"有給休暇")</f>
        <v/>
      </c>
      <c r="G4" s="322">
        <f>IF(勤務表!T8=0,"",勤務表!T8)</f>
        <v/>
      </c>
      <c r="H4" s="824">
        <f>勤務表!A8</f>
        <v/>
      </c>
      <c r="I4" s="322">
        <f>勤務表!U8</f>
        <v/>
      </c>
      <c r="J4" s="322">
        <f>IFERROR(LEFT(I4,1),"")</f>
        <v/>
      </c>
      <c r="K4" s="313">
        <f>IF(Q4="","",IF(Q4-Q3=1,IFERROR(IF(Q5-Q4=1,"~",2),2),1))</f>
        <v/>
      </c>
      <c r="L4" s="313">
        <f>IF(K4="","",COUNTIF($K$4:K4,1))</f>
        <v/>
      </c>
      <c r="M4" s="313">
        <f>IF(K4="","",COUNTIF($K$4:K4,2))</f>
        <v/>
      </c>
      <c r="N4" s="826">
        <f>Q4</f>
        <v/>
      </c>
      <c r="O4" s="827">
        <f>K5</f>
        <v/>
      </c>
      <c r="P4" s="824">
        <f>IFERROR(VLOOKUP(1,$M$4:$N$17,2,FALSE),"")</f>
        <v/>
      </c>
      <c r="Q4" s="326">
        <f>IFERROR(VLOOKUP(R4,$F$4:$H$34,3,FALSE),"")</f>
        <v/>
      </c>
      <c r="R4" s="322" t="n">
        <v>1</v>
      </c>
      <c r="T4" s="322">
        <f>COUNTIF($U$4:U4,TRUE)</f>
        <v/>
      </c>
      <c r="U4" s="322">
        <f>IF(W4="","",IF(OR(W4="有給休暇",X4&lt;&gt;0),TRUE,FALSE))</f>
        <v/>
      </c>
      <c r="V4" s="824">
        <f>勤務表!A8</f>
        <v/>
      </c>
      <c r="W4" s="322">
        <f>勤務表!T8</f>
        <v/>
      </c>
      <c r="X4" s="322">
        <f>勤務表!J8</f>
        <v/>
      </c>
    </row>
    <row r="5">
      <c r="A5" s="322">
        <f>COUNTIF($G$4:$G5,"振替休暇（半日）")</f>
        <v/>
      </c>
      <c r="B5" s="322">
        <f>COUNTIF($G$4:$G5,"有給休暇（半日）")</f>
        <v/>
      </c>
      <c r="C5" s="322">
        <f>COUNTIF($G$4:$G5,"会社規定休")</f>
        <v/>
      </c>
      <c r="D5" s="322">
        <f>COUNTIF($G$4:$G5,"振替休暇")</f>
        <v/>
      </c>
      <c r="E5" s="322">
        <f>COUNTIF($G$4:$G5,"慶弔休暇")</f>
        <v/>
      </c>
      <c r="F5" s="322">
        <f>COUNTIF($G$4:$G5,"有給休暇")</f>
        <v/>
      </c>
      <c r="G5" s="322">
        <f>IF(勤務表!T9=0,"",勤務表!T9)</f>
        <v/>
      </c>
      <c r="H5" s="824">
        <f>勤務表!A9</f>
        <v/>
      </c>
      <c r="I5" s="322">
        <f>勤務表!U9</f>
        <v/>
      </c>
      <c r="J5" s="322">
        <f>IFERROR(LEFT(I5,1),"")</f>
        <v/>
      </c>
      <c r="K5" s="313">
        <f>IF(Q5="","",IF(Q5-Q4=1,IFERROR(IF(Q6-Q5=1,"~",2),2),1))</f>
        <v/>
      </c>
      <c r="L5" s="313">
        <f>IF(K5="","",COUNTIF($K$4:K5,1))</f>
        <v/>
      </c>
      <c r="M5" s="313">
        <f>IF(K5="","",COUNTIF($K$4:K5,2))</f>
        <v/>
      </c>
      <c r="N5" s="826">
        <f>Q5</f>
        <v/>
      </c>
      <c r="O5" s="827">
        <f>K6</f>
        <v/>
      </c>
      <c r="P5" s="824">
        <f>IFERROR(VLOOKUP(1,$M$4:$N$17,2,FALSE),"")</f>
        <v/>
      </c>
      <c r="Q5" s="326">
        <f>IFERROR(VLOOKUP(R5,$F$4:$H$34,3,FALSE),"")</f>
        <v/>
      </c>
      <c r="R5" s="322" t="n">
        <v>2</v>
      </c>
      <c r="T5" s="322">
        <f>COUNTIF($U$4:U5,TRUE)</f>
        <v/>
      </c>
      <c r="U5" s="322">
        <f>IF(W5="","",IF(OR(W5="有給休暇",X5&lt;&gt;0),TRUE,FALSE))</f>
        <v/>
      </c>
      <c r="V5" s="824">
        <f>勤務表!A9</f>
        <v/>
      </c>
      <c r="W5" s="322">
        <f>勤務表!T9</f>
        <v/>
      </c>
      <c r="X5" s="322">
        <f>勤務表!J9</f>
        <v/>
      </c>
    </row>
    <row r="6">
      <c r="A6" s="322">
        <f>COUNTIF($G$4:$G6,"振替休暇（半日）")</f>
        <v/>
      </c>
      <c r="B6" s="322">
        <f>COUNTIF($G$4:$G6,"有給休暇（半日）")</f>
        <v/>
      </c>
      <c r="C6" s="322">
        <f>COUNTIF($G$4:$G6,"会社規定休")</f>
        <v/>
      </c>
      <c r="D6" s="322">
        <f>COUNTIF($G$4:$G6,"振替休暇")</f>
        <v/>
      </c>
      <c r="E6" s="322">
        <f>COUNTIF($G$4:$G6,"慶弔休暇")</f>
        <v/>
      </c>
      <c r="F6" s="322">
        <f>COUNTIF($G$4:$G6,"有給休暇")</f>
        <v/>
      </c>
      <c r="G6" s="322">
        <f>IF(勤務表!T10=0,"",勤務表!T10)</f>
        <v/>
      </c>
      <c r="H6" s="824">
        <f>勤務表!A10</f>
        <v/>
      </c>
      <c r="I6" s="322">
        <f>勤務表!U10</f>
        <v/>
      </c>
      <c r="J6" s="322">
        <f>IFERROR(LEFT(I6,1),"")</f>
        <v/>
      </c>
      <c r="K6" s="313">
        <f>IF(Q6="","",IF(Q6-Q5=1,IFERROR(IF(Q7-Q6=1,"~",2),2),1))</f>
        <v/>
      </c>
      <c r="L6" s="313">
        <f>IF(K6="","",COUNTIF($K$4:K6,1))</f>
        <v/>
      </c>
      <c r="M6" s="313">
        <f>IF(K6="","",COUNTIF($K$4:K6,2))</f>
        <v/>
      </c>
      <c r="N6" s="826">
        <f>Q6</f>
        <v/>
      </c>
      <c r="O6" s="827">
        <f>K7</f>
        <v/>
      </c>
      <c r="P6" s="824">
        <f>IFERROR(VLOOKUP(1,$M$4:$N$17,2,FALSE),"")</f>
        <v/>
      </c>
      <c r="Q6" s="326">
        <f>IFERROR(VLOOKUP(R6,$F$4:$H$34,3,FALSE),"")</f>
        <v/>
      </c>
      <c r="R6" s="322" t="n">
        <v>3</v>
      </c>
      <c r="T6" s="322">
        <f>COUNTIF($U$4:U6,TRUE)</f>
        <v/>
      </c>
      <c r="U6" s="322">
        <f>IF(W6="","",IF(OR(W6="有給休暇",X6&lt;&gt;0),TRUE,FALSE))</f>
        <v/>
      </c>
      <c r="V6" s="824">
        <f>勤務表!A10</f>
        <v/>
      </c>
      <c r="W6" s="322">
        <f>勤務表!T10</f>
        <v/>
      </c>
      <c r="X6" s="322">
        <f>勤務表!J10</f>
        <v/>
      </c>
    </row>
    <row r="7">
      <c r="A7" s="322">
        <f>COUNTIF($G$4:$G7,"振替休暇（半日）")</f>
        <v/>
      </c>
      <c r="B7" s="322">
        <f>COUNTIF($G$4:$G7,"有給休暇（半日）")</f>
        <v/>
      </c>
      <c r="C7" s="322">
        <f>COUNTIF($G$4:$G7,"会社規定休")</f>
        <v/>
      </c>
      <c r="D7" s="322">
        <f>COUNTIF($G$4:$G7,"振替休暇")</f>
        <v/>
      </c>
      <c r="E7" s="322">
        <f>COUNTIF($G$4:$G7,"慶弔休暇")</f>
        <v/>
      </c>
      <c r="F7" s="322">
        <f>COUNTIF($G$4:$G7,"有給休暇")</f>
        <v/>
      </c>
      <c r="G7" s="322">
        <f>IF(勤務表!T11=0,"",勤務表!T11)</f>
        <v/>
      </c>
      <c r="H7" s="824">
        <f>勤務表!A11</f>
        <v/>
      </c>
      <c r="I7" s="322">
        <f>勤務表!U11</f>
        <v/>
      </c>
      <c r="J7" s="322">
        <f>IFERROR(LEFT(I7,1),"")</f>
        <v/>
      </c>
      <c r="K7" s="313">
        <f>IF(Q7="","",IF(Q7-Q6=1,IFERROR(IF(Q8-Q7=1,"~",2),2),1))</f>
        <v/>
      </c>
      <c r="L7" s="313">
        <f>IF(K7="","",COUNTIF($K$4:K7,1))</f>
        <v/>
      </c>
      <c r="M7" s="313">
        <f>IF(K7="","",COUNTIF($K$4:K7,2))</f>
        <v/>
      </c>
      <c r="N7" s="826">
        <f>Q7</f>
        <v/>
      </c>
      <c r="O7" s="827">
        <f>K8</f>
        <v/>
      </c>
      <c r="P7" s="824">
        <f>IFERROR(VLOOKUP(1,$M$4:$N$17,2,FALSE),"")</f>
        <v/>
      </c>
      <c r="Q7" s="326">
        <f>IFERROR(VLOOKUP(R7,$F$4:$H$34,3,FALSE),"")</f>
        <v/>
      </c>
      <c r="R7" s="322" t="n">
        <v>4</v>
      </c>
      <c r="T7" s="322">
        <f>COUNTIF($U$4:U7,TRUE)</f>
        <v/>
      </c>
      <c r="U7" s="322">
        <f>IF(W7="","",IF(OR(W7="有給休暇",X7&lt;&gt;0),TRUE,FALSE))</f>
        <v/>
      </c>
      <c r="V7" s="824">
        <f>勤務表!A11</f>
        <v/>
      </c>
      <c r="W7" s="322">
        <f>勤務表!T11</f>
        <v/>
      </c>
      <c r="X7" s="322">
        <f>勤務表!J11</f>
        <v/>
      </c>
    </row>
    <row r="8">
      <c r="A8" s="322">
        <f>COUNTIF($G$4:$G8,"振替休暇（半日）")</f>
        <v/>
      </c>
      <c r="B8" s="322">
        <f>COUNTIF($G$4:$G8,"有給休暇（半日）")</f>
        <v/>
      </c>
      <c r="C8" s="322">
        <f>COUNTIF($G$4:$G8,"会社規定休")</f>
        <v/>
      </c>
      <c r="D8" s="322">
        <f>COUNTIF($G$4:$G8,"振替休暇")</f>
        <v/>
      </c>
      <c r="E8" s="322">
        <f>COUNTIF($G$4:$G8,"慶弔休暇")</f>
        <v/>
      </c>
      <c r="F8" s="322">
        <f>COUNTIF($G$4:$G8,"有給休暇")</f>
        <v/>
      </c>
      <c r="G8" s="322">
        <f>IF(勤務表!T12=0,"",勤務表!T12)</f>
        <v/>
      </c>
      <c r="H8" s="824">
        <f>勤務表!A12</f>
        <v/>
      </c>
      <c r="I8" s="322">
        <f>勤務表!U12</f>
        <v/>
      </c>
      <c r="J8" s="322">
        <f>IFERROR(LEFT(I8,1),"")</f>
        <v/>
      </c>
      <c r="K8" s="313">
        <f>IF(Q8="","",IF(Q8-Q7=1,IFERROR(IF(Q9-Q8=1,"~",2),2),1))</f>
        <v/>
      </c>
      <c r="L8" s="313">
        <f>IF(K8="","",COUNTIF($K$4:K8,1))</f>
        <v/>
      </c>
      <c r="M8" s="313">
        <f>IF(K8="","",COUNTIF($K$4:K8,2))</f>
        <v/>
      </c>
      <c r="N8" s="826">
        <f>Q8</f>
        <v/>
      </c>
      <c r="O8" s="827">
        <f>K9</f>
        <v/>
      </c>
      <c r="P8" s="824">
        <f>IFERROR(VLOOKUP(1,$M$4:$N$17,2,FALSE),"")</f>
        <v/>
      </c>
      <c r="Q8" s="326">
        <f>IFERROR(VLOOKUP(R8,$F$4:$H$34,3,FALSE),"")</f>
        <v/>
      </c>
      <c r="R8" s="322" t="n">
        <v>5</v>
      </c>
      <c r="T8" s="322">
        <f>COUNTIF($U$4:U8,TRUE)</f>
        <v/>
      </c>
      <c r="U8" s="322">
        <f>IF(W8="","",IF(OR(W8="有給休暇",X8&lt;&gt;0),TRUE,FALSE))</f>
        <v/>
      </c>
      <c r="V8" s="824">
        <f>勤務表!A12</f>
        <v/>
      </c>
      <c r="W8" s="322">
        <f>勤務表!T12</f>
        <v/>
      </c>
      <c r="X8" s="322">
        <f>勤務表!J12</f>
        <v/>
      </c>
    </row>
    <row r="9">
      <c r="A9" s="322">
        <f>COUNTIF($G$4:$G9,"振替休暇（半日）")</f>
        <v/>
      </c>
      <c r="B9" s="322">
        <f>COUNTIF($G$4:$G9,"有給休暇（半日）")</f>
        <v/>
      </c>
      <c r="C9" s="322">
        <f>COUNTIF($G$4:$G9,"会社規定休")</f>
        <v/>
      </c>
      <c r="D9" s="322">
        <f>COUNTIF($G$4:$G9,"振替休暇")</f>
        <v/>
      </c>
      <c r="E9" s="322">
        <f>COUNTIF($G$4:$G9,"慶弔休暇")</f>
        <v/>
      </c>
      <c r="F9" s="322">
        <f>COUNTIF($G$4:$G9,"有給休暇")</f>
        <v/>
      </c>
      <c r="G9" s="322">
        <f>IF(勤務表!T13=0,"",勤務表!T13)</f>
        <v/>
      </c>
      <c r="H9" s="824">
        <f>勤務表!A13</f>
        <v/>
      </c>
      <c r="I9" s="322">
        <f>勤務表!U13</f>
        <v/>
      </c>
      <c r="J9" s="322">
        <f>IFERROR(LEFT(I9,1),"")</f>
        <v/>
      </c>
      <c r="K9" s="313">
        <f>IF(Q9="","",IF(Q9-Q8=1,IFERROR(IF(Q10-Q9=1,"~",2),2),1))</f>
        <v/>
      </c>
      <c r="L9" s="313">
        <f>IF(K9="","",COUNTIF($K$4:K9,1))</f>
        <v/>
      </c>
      <c r="M9" s="313">
        <f>IF(K9="","",COUNTIF($K$4:K9,2))</f>
        <v/>
      </c>
      <c r="N9" s="826">
        <f>Q9</f>
        <v/>
      </c>
      <c r="O9" s="827">
        <f>K10</f>
        <v/>
      </c>
      <c r="P9" s="824">
        <f>IFERROR(VLOOKUP(1,$M$4:$N$17,2,FALSE),"")</f>
        <v/>
      </c>
      <c r="Q9" s="326">
        <f>IFERROR(VLOOKUP(R9,$F$4:$H$34,3,FALSE),"")</f>
        <v/>
      </c>
      <c r="R9" s="322" t="n">
        <v>6</v>
      </c>
      <c r="T9" s="322">
        <f>COUNTIF($U$4:U9,TRUE)</f>
        <v/>
      </c>
      <c r="U9" s="322">
        <f>IF(W9="","",IF(OR(W9="有給休暇",X9&lt;&gt;0),TRUE,FALSE))</f>
        <v/>
      </c>
      <c r="V9" s="824">
        <f>勤務表!A13</f>
        <v/>
      </c>
      <c r="W9" s="322">
        <f>勤務表!T13</f>
        <v/>
      </c>
      <c r="X9" s="322">
        <f>勤務表!J13</f>
        <v/>
      </c>
    </row>
    <row r="10">
      <c r="A10" s="322">
        <f>COUNTIF($G$4:$G10,"振替休暇（半日）")</f>
        <v/>
      </c>
      <c r="B10" s="322">
        <f>COUNTIF($G$4:$G10,"有給休暇（半日）")</f>
        <v/>
      </c>
      <c r="C10" s="322">
        <f>COUNTIF($G$4:$G10,"会社規定休")</f>
        <v/>
      </c>
      <c r="D10" s="322">
        <f>COUNTIF($G$4:$G10,"振替休暇")</f>
        <v/>
      </c>
      <c r="E10" s="322">
        <f>COUNTIF($G$4:$G10,"慶弔休暇")</f>
        <v/>
      </c>
      <c r="F10" s="322">
        <f>COUNTIF($G$4:$G10,"有給休暇")</f>
        <v/>
      </c>
      <c r="G10" s="322">
        <f>IF(勤務表!T14=0,"",勤務表!T14)</f>
        <v/>
      </c>
      <c r="H10" s="824">
        <f>勤務表!A14</f>
        <v/>
      </c>
      <c r="I10" s="322">
        <f>勤務表!U14</f>
        <v/>
      </c>
      <c r="J10" s="322">
        <f>IFERROR(LEFT(I10,1),"")</f>
        <v/>
      </c>
      <c r="K10" s="313">
        <f>IF(Q10="","",IF(Q10-Q9=1,IFERROR(IF(Q11-Q10=1,"~",2),2),1))</f>
        <v/>
      </c>
      <c r="L10" s="313">
        <f>IF(K10="","",COUNTIF($K$4:K10,1))</f>
        <v/>
      </c>
      <c r="M10" s="313">
        <f>IF(K10="","",COUNTIF($K$4:K10,2))</f>
        <v/>
      </c>
      <c r="N10" s="826">
        <f>Q10</f>
        <v/>
      </c>
      <c r="O10" s="827">
        <f>K11</f>
        <v/>
      </c>
      <c r="P10" s="824">
        <f>IFERROR(VLOOKUP(1,$M$4:$N$17,2,FALSE),"")</f>
        <v/>
      </c>
      <c r="Q10" s="326">
        <f>IFERROR(VLOOKUP(R10,$F$4:$H$34,3,FALSE),"")</f>
        <v/>
      </c>
      <c r="R10" s="322" t="n">
        <v>7</v>
      </c>
      <c r="T10" s="322">
        <f>COUNTIF($U$4:U10,TRUE)</f>
        <v/>
      </c>
      <c r="U10" s="322">
        <f>IF(W10="","",IF(OR(W10="有給休暇",X10&lt;&gt;0),TRUE,FALSE))</f>
        <v/>
      </c>
      <c r="V10" s="824">
        <f>勤務表!A14</f>
        <v/>
      </c>
      <c r="W10" s="322">
        <f>勤務表!T14</f>
        <v/>
      </c>
      <c r="X10" s="322">
        <f>勤務表!J14</f>
        <v/>
      </c>
    </row>
    <row r="11">
      <c r="A11" s="322">
        <f>COUNTIF($G$4:$G11,"振替休暇（半日）")</f>
        <v/>
      </c>
      <c r="B11" s="322">
        <f>COUNTIF($G$4:$G11,"有給休暇（半日）")</f>
        <v/>
      </c>
      <c r="C11" s="322">
        <f>COUNTIF($G$4:$G11,"会社規定休")</f>
        <v/>
      </c>
      <c r="D11" s="322">
        <f>COUNTIF($G$4:$G11,"振替休暇")</f>
        <v/>
      </c>
      <c r="E11" s="322">
        <f>COUNTIF($G$4:$G11,"慶弔休暇")</f>
        <v/>
      </c>
      <c r="F11" s="322">
        <f>COUNTIF($G$4:$G11,"有給休暇")</f>
        <v/>
      </c>
      <c r="G11" s="322">
        <f>IF(勤務表!T15=0,"",勤務表!T15)</f>
        <v/>
      </c>
      <c r="H11" s="824">
        <f>勤務表!A15</f>
        <v/>
      </c>
      <c r="I11" s="322">
        <f>勤務表!U15</f>
        <v/>
      </c>
      <c r="J11" s="322">
        <f>IFERROR(LEFT(I11,1),"")</f>
        <v/>
      </c>
      <c r="K11" s="313">
        <f>IF(Q11="","",IF(Q11-Q10=1,IFERROR(IF(Q12-Q11=1,"~",2),2),1))</f>
        <v/>
      </c>
      <c r="L11" s="313">
        <f>IF(K11="","",COUNTIF($K$4:K11,1))</f>
        <v/>
      </c>
      <c r="M11" s="313">
        <f>IF(K11="","",COUNTIF($K$4:K11,2))</f>
        <v/>
      </c>
      <c r="N11" s="826">
        <f>Q11</f>
        <v/>
      </c>
      <c r="O11" s="827">
        <f>K12</f>
        <v/>
      </c>
      <c r="P11" s="824">
        <f>IFERROR(VLOOKUP(1,$M$4:$N$17,2,FALSE),"")</f>
        <v/>
      </c>
      <c r="Q11" s="326">
        <f>IFERROR(VLOOKUP(R11,$F$4:$H$34,3,FALSE),"")</f>
        <v/>
      </c>
      <c r="R11" s="322" t="n">
        <v>8</v>
      </c>
      <c r="T11" s="322">
        <f>COUNTIF($U$4:U11,TRUE)</f>
        <v/>
      </c>
      <c r="U11" s="322">
        <f>IF(W11="","",IF(OR(W11="有給休暇",X11&lt;&gt;0),TRUE,FALSE))</f>
        <v/>
      </c>
      <c r="V11" s="824">
        <f>勤務表!A15</f>
        <v/>
      </c>
      <c r="W11" s="322">
        <f>勤務表!T15</f>
        <v/>
      </c>
      <c r="X11" s="322">
        <f>勤務表!J15</f>
        <v/>
      </c>
    </row>
    <row r="12">
      <c r="A12" s="322">
        <f>COUNTIF($G$4:$G12,"振替休暇（半日）")</f>
        <v/>
      </c>
      <c r="B12" s="322">
        <f>COUNTIF($G$4:$G12,"有給休暇（半日）")</f>
        <v/>
      </c>
      <c r="C12" s="322">
        <f>COUNTIF($G$4:$G12,"会社規定休")</f>
        <v/>
      </c>
      <c r="D12" s="322">
        <f>COUNTIF($G$4:$G12,"振替休暇")</f>
        <v/>
      </c>
      <c r="E12" s="322">
        <f>COUNTIF($G$4:$G12,"慶弔休暇")</f>
        <v/>
      </c>
      <c r="F12" s="322">
        <f>COUNTIF($G$4:$G12,"有給休暇")</f>
        <v/>
      </c>
      <c r="G12" s="322">
        <f>IF(勤務表!T16=0,"",勤務表!T16)</f>
        <v/>
      </c>
      <c r="H12" s="824">
        <f>勤務表!A16</f>
        <v/>
      </c>
      <c r="I12" s="322">
        <f>勤務表!U16</f>
        <v/>
      </c>
      <c r="J12" s="322">
        <f>IFERROR(LEFT(I12,1),"")</f>
        <v/>
      </c>
      <c r="K12" s="313">
        <f>IF(Q12="","",IF(Q12-Q11=1,IFERROR(IF(Q13-Q12=1,"~",2),2),1))</f>
        <v/>
      </c>
      <c r="L12" s="313">
        <f>IF(K12="","",COUNTIF($K$4:K12,1))</f>
        <v/>
      </c>
      <c r="M12" s="313">
        <f>IF(K12="","",COUNTIF($K$4:K12,2))</f>
        <v/>
      </c>
      <c r="N12" s="826">
        <f>Q12</f>
        <v/>
      </c>
      <c r="O12" s="827">
        <f>K13</f>
        <v/>
      </c>
      <c r="P12" s="824">
        <f>IFERROR(VLOOKUP(1,$M$4:$N$17,2,FALSE),"")</f>
        <v/>
      </c>
      <c r="Q12" s="326">
        <f>IFERROR(VLOOKUP(R12,$F$4:$H$34,3,FALSE),"")</f>
        <v/>
      </c>
      <c r="R12" s="322" t="n">
        <v>9</v>
      </c>
      <c r="T12" s="322">
        <f>COUNTIF($U$4:U12,TRUE)</f>
        <v/>
      </c>
      <c r="U12" s="322">
        <f>IF(W12="","",IF(OR(W12="有給休暇",X12&lt;&gt;0),TRUE,FALSE))</f>
        <v/>
      </c>
      <c r="V12" s="824">
        <f>勤務表!A16</f>
        <v/>
      </c>
      <c r="W12" s="322">
        <f>勤務表!T16</f>
        <v/>
      </c>
      <c r="X12" s="322">
        <f>勤務表!J16</f>
        <v/>
      </c>
    </row>
    <row r="13">
      <c r="A13" s="322">
        <f>COUNTIF($G$4:$G13,"振替休暇（半日）")</f>
        <v/>
      </c>
      <c r="B13" s="322">
        <f>COUNTIF($G$4:$G13,"有給休暇（半日）")</f>
        <v/>
      </c>
      <c r="C13" s="322">
        <f>COUNTIF($G$4:$G13,"会社規定休")</f>
        <v/>
      </c>
      <c r="D13" s="322">
        <f>COUNTIF($G$4:$G13,"振替休暇")</f>
        <v/>
      </c>
      <c r="E13" s="322">
        <f>COUNTIF($G$4:$G13,"慶弔休暇")</f>
        <v/>
      </c>
      <c r="F13" s="322">
        <f>COUNTIF($G$4:$G13,"有給休暇")</f>
        <v/>
      </c>
      <c r="G13" s="322">
        <f>IF(勤務表!T17=0,"",勤務表!T17)</f>
        <v/>
      </c>
      <c r="H13" s="824">
        <f>勤務表!A17</f>
        <v/>
      </c>
      <c r="I13" s="322">
        <f>勤務表!U17</f>
        <v/>
      </c>
      <c r="J13" s="322">
        <f>IFERROR(LEFT(I13,1),"")</f>
        <v/>
      </c>
      <c r="K13" s="313">
        <f>IF(Q13="","",IF(Q13-Q12=1,IFERROR(IF(Q14-Q13=1,"~",2),2),1))</f>
        <v/>
      </c>
      <c r="L13" s="313">
        <f>IF(K13="","",COUNTIF($K$4:K13,1))</f>
        <v/>
      </c>
      <c r="M13" s="313">
        <f>IF(K13="","",COUNTIF($K$4:K13,2))</f>
        <v/>
      </c>
      <c r="N13" s="826">
        <f>Q13</f>
        <v/>
      </c>
      <c r="O13" s="827">
        <f>K14</f>
        <v/>
      </c>
      <c r="P13" s="824">
        <f>IFERROR(VLOOKUP(1,$M$4:$N$17,2,FALSE),"")</f>
        <v/>
      </c>
      <c r="Q13" s="326">
        <f>IFERROR(VLOOKUP(R13,$F$4:$H$34,3,FALSE),"")</f>
        <v/>
      </c>
      <c r="R13" s="322" t="n">
        <v>10</v>
      </c>
      <c r="T13" s="322">
        <f>COUNTIF($U$4:U13,TRUE)</f>
        <v/>
      </c>
      <c r="U13" s="322">
        <f>IF(W13="","",IF(OR(W13="有給休暇",X13&lt;&gt;0),TRUE,FALSE))</f>
        <v/>
      </c>
      <c r="V13" s="824">
        <f>勤務表!A17</f>
        <v/>
      </c>
      <c r="W13" s="322">
        <f>勤務表!T17</f>
        <v/>
      </c>
      <c r="X13" s="322">
        <f>勤務表!J17</f>
        <v/>
      </c>
    </row>
    <row r="14">
      <c r="A14" s="322">
        <f>COUNTIF($G$4:$G14,"振替休暇（半日）")</f>
        <v/>
      </c>
      <c r="B14" s="322">
        <f>COUNTIF($G$4:$G14,"有給休暇（半日）")</f>
        <v/>
      </c>
      <c r="C14" s="322">
        <f>COUNTIF($G$4:$G14,"会社規定休")</f>
        <v/>
      </c>
      <c r="D14" s="322">
        <f>COUNTIF($G$4:$G14,"振替休暇")</f>
        <v/>
      </c>
      <c r="E14" s="322">
        <f>COUNTIF($G$4:$G14,"慶弔休暇")</f>
        <v/>
      </c>
      <c r="F14" s="322">
        <f>COUNTIF($G$4:$G14,"有給休暇")</f>
        <v/>
      </c>
      <c r="G14" s="322">
        <f>IF(勤務表!T18=0,"",勤務表!T18)</f>
        <v/>
      </c>
      <c r="H14" s="824">
        <f>勤務表!A18</f>
        <v/>
      </c>
      <c r="I14" s="322">
        <f>勤務表!U18</f>
        <v/>
      </c>
      <c r="J14" s="322">
        <f>IFERROR(LEFT(I14,1),"")</f>
        <v/>
      </c>
      <c r="K14" s="313">
        <f>IF(Q14="","",IF(Q14-Q13=1,IFERROR(IF(Q15-Q14=1,"~",2),2),1))</f>
        <v/>
      </c>
      <c r="L14" s="313">
        <f>IF(K14="","",COUNTIF($K$4:K14,1))</f>
        <v/>
      </c>
      <c r="M14" s="313">
        <f>IF(K14="","",COUNTIF($K$4:K14,2))</f>
        <v/>
      </c>
      <c r="N14" s="826">
        <f>Q14</f>
        <v/>
      </c>
      <c r="O14" s="827">
        <f>K15</f>
        <v/>
      </c>
      <c r="P14" s="824">
        <f>IFERROR(VLOOKUP(1,$M$4:$N$17,2,FALSE),"")</f>
        <v/>
      </c>
      <c r="Q14" s="326">
        <f>IFERROR(VLOOKUP(R14,$F$4:$H$34,3,FALSE),"")</f>
        <v/>
      </c>
      <c r="R14" s="322" t="n">
        <v>11</v>
      </c>
      <c r="T14" s="322">
        <f>COUNTIF($U$4:U14,TRUE)</f>
        <v/>
      </c>
      <c r="U14" s="322">
        <f>IF(W14="","",IF(OR(W14="有給休暇",X14&lt;&gt;0),TRUE,FALSE))</f>
        <v/>
      </c>
      <c r="V14" s="824">
        <f>勤務表!A18</f>
        <v/>
      </c>
      <c r="W14" s="322">
        <f>勤務表!T18</f>
        <v/>
      </c>
      <c r="X14" s="322">
        <f>勤務表!J18</f>
        <v/>
      </c>
    </row>
    <row r="15">
      <c r="A15" s="322">
        <f>COUNTIF($G$4:$G15,"振替休暇（半日）")</f>
        <v/>
      </c>
      <c r="B15" s="322">
        <f>COUNTIF($G$4:$G15,"有給休暇（半日）")</f>
        <v/>
      </c>
      <c r="C15" s="322">
        <f>COUNTIF($G$4:$G15,"会社規定休")</f>
        <v/>
      </c>
      <c r="D15" s="322">
        <f>COUNTIF($G$4:$G15,"振替休暇")</f>
        <v/>
      </c>
      <c r="E15" s="322">
        <f>COUNTIF($G$4:$G15,"慶弔休暇")</f>
        <v/>
      </c>
      <c r="F15" s="322">
        <f>COUNTIF($G$4:$G15,"有給休暇")</f>
        <v/>
      </c>
      <c r="G15" s="322">
        <f>IF(勤務表!T19=0,"",勤務表!T19)</f>
        <v/>
      </c>
      <c r="H15" s="824">
        <f>勤務表!A19</f>
        <v/>
      </c>
      <c r="I15" s="322">
        <f>勤務表!U19</f>
        <v/>
      </c>
      <c r="J15" s="322">
        <f>IFERROR(LEFT(I15,1),"")</f>
        <v/>
      </c>
      <c r="K15" s="313">
        <f>IF(Q15="","",IF(Q15-Q14=1,IFERROR(IF(Q16-Q15=1,"~",2),2),1))</f>
        <v/>
      </c>
      <c r="L15" s="313">
        <f>IF(K15="","",COUNTIF($K$4:K15,1))</f>
        <v/>
      </c>
      <c r="M15" s="313">
        <f>IF(K15="","",COUNTIF($K$4:K15,2))</f>
        <v/>
      </c>
      <c r="N15" s="826">
        <f>Q15</f>
        <v/>
      </c>
      <c r="O15" s="827">
        <f>K16</f>
        <v/>
      </c>
      <c r="P15" s="824">
        <f>IFERROR(VLOOKUP(1,$M$4:$N$17,2,FALSE),"")</f>
        <v/>
      </c>
      <c r="Q15" s="326">
        <f>IFERROR(VLOOKUP(R15,$F$4:$H$34,3,FALSE),"")</f>
        <v/>
      </c>
      <c r="R15" s="322" t="n">
        <v>12</v>
      </c>
      <c r="T15" s="322">
        <f>COUNTIF($U$4:U15,TRUE)</f>
        <v/>
      </c>
      <c r="U15" s="322">
        <f>IF(W15="","",IF(OR(W15="有給休暇",X15&lt;&gt;0),TRUE,FALSE))</f>
        <v/>
      </c>
      <c r="V15" s="824">
        <f>勤務表!A19</f>
        <v/>
      </c>
      <c r="W15" s="322">
        <f>勤務表!T19</f>
        <v/>
      </c>
      <c r="X15" s="322">
        <f>勤務表!J19</f>
        <v/>
      </c>
    </row>
    <row r="16">
      <c r="A16" s="322">
        <f>COUNTIF($G$4:$G16,"振替休暇（半日）")</f>
        <v/>
      </c>
      <c r="B16" s="322">
        <f>COUNTIF($G$4:$G16,"有給休暇（半日）")</f>
        <v/>
      </c>
      <c r="C16" s="322">
        <f>COUNTIF($G$4:$G16,"会社規定休")</f>
        <v/>
      </c>
      <c r="D16" s="322">
        <f>COUNTIF($G$4:$G16,"振替休暇")</f>
        <v/>
      </c>
      <c r="E16" s="322">
        <f>COUNTIF($G$4:$G16,"慶弔休暇")</f>
        <v/>
      </c>
      <c r="F16" s="322">
        <f>COUNTIF($G$4:$G16,"有給休暇")</f>
        <v/>
      </c>
      <c r="G16" s="322">
        <f>IF(勤務表!T20=0,"",勤務表!T20)</f>
        <v/>
      </c>
      <c r="H16" s="824">
        <f>勤務表!A20</f>
        <v/>
      </c>
      <c r="I16" s="322">
        <f>勤務表!U20</f>
        <v/>
      </c>
      <c r="J16" s="322">
        <f>IFERROR(LEFT(I16,1),"")</f>
        <v/>
      </c>
      <c r="K16" s="313">
        <f>IF(Q16="","",IF(Q16-Q15=1,IFERROR(IF(Q17-Q16=1,"~",2),2),1))</f>
        <v/>
      </c>
      <c r="L16" s="313">
        <f>IF(K16="","",COUNTIF($K$4:K16,1))</f>
        <v/>
      </c>
      <c r="M16" s="313">
        <f>IF(K16="","",COUNTIF($K$4:K16,2))</f>
        <v/>
      </c>
      <c r="N16" s="826">
        <f>Q16</f>
        <v/>
      </c>
      <c r="O16" s="827">
        <f>K17</f>
        <v/>
      </c>
      <c r="P16" s="824">
        <f>IFERROR(VLOOKUP(1,$M$4:$N$17,2,FALSE),"")</f>
        <v/>
      </c>
      <c r="Q16" s="326">
        <f>IFERROR(VLOOKUP(R16,$F$4:$H$34,3,FALSE),"")</f>
        <v/>
      </c>
      <c r="R16" s="322" t="n">
        <v>13</v>
      </c>
      <c r="T16" s="322">
        <f>COUNTIF($U$4:U16,TRUE)</f>
        <v/>
      </c>
      <c r="U16" s="322">
        <f>IF(W16="","",IF(OR(W16="有給休暇",X16&lt;&gt;0),TRUE,FALSE))</f>
        <v/>
      </c>
      <c r="V16" s="824">
        <f>勤務表!A20</f>
        <v/>
      </c>
      <c r="W16" s="322">
        <f>勤務表!T20</f>
        <v/>
      </c>
      <c r="X16" s="322">
        <f>勤務表!J20</f>
        <v/>
      </c>
    </row>
    <row r="17">
      <c r="A17" s="322">
        <f>COUNTIF($G$4:$G17,"振替休暇（半日）")</f>
        <v/>
      </c>
      <c r="B17" s="322">
        <f>COUNTIF($G$4:$G17,"有給休暇（半日）")</f>
        <v/>
      </c>
      <c r="C17" s="322">
        <f>COUNTIF($G$4:$G17,"会社規定休")</f>
        <v/>
      </c>
      <c r="D17" s="322">
        <f>COUNTIF($G$4:$G17,"振替休暇")</f>
        <v/>
      </c>
      <c r="E17" s="322">
        <f>COUNTIF($G$4:$G17,"慶弔休暇")</f>
        <v/>
      </c>
      <c r="F17" s="322">
        <f>COUNTIF($G$4:$G17,"有給休暇")</f>
        <v/>
      </c>
      <c r="G17" s="322">
        <f>IF(勤務表!T21=0,"",勤務表!T21)</f>
        <v/>
      </c>
      <c r="H17" s="824">
        <f>勤務表!A21</f>
        <v/>
      </c>
      <c r="I17" s="322">
        <f>勤務表!U21</f>
        <v/>
      </c>
      <c r="J17" s="322">
        <f>IFERROR(LEFT(I17,1),"")</f>
        <v/>
      </c>
      <c r="K17" s="313">
        <f>IF(Q17="","",IF(Q17-Q16=1,IFERROR(IF(Q18-Q17=1,"~",2),2),1))</f>
        <v/>
      </c>
      <c r="L17" s="313">
        <f>IF(K17="","",COUNTIF($K$4:K17,1))</f>
        <v/>
      </c>
      <c r="M17" s="313">
        <f>IF(K17="","",COUNTIF($K$4:K17,2))</f>
        <v/>
      </c>
      <c r="N17" s="826">
        <f>Q17</f>
        <v/>
      </c>
      <c r="O17" s="827">
        <f>K18</f>
        <v/>
      </c>
      <c r="P17" s="824">
        <f>IFERROR(VLOOKUP(1,$M$4:$N$17,2,FALSE),"")</f>
        <v/>
      </c>
      <c r="Q17" s="326">
        <f>IFERROR(VLOOKUP(R17,$F$4:$H$34,3,FALSE),"")</f>
        <v/>
      </c>
      <c r="R17" s="322" t="n">
        <v>14</v>
      </c>
      <c r="T17" s="322">
        <f>COUNTIF($U$4:U17,TRUE)</f>
        <v/>
      </c>
      <c r="U17" s="322">
        <f>IF(W17="","",IF(OR(W17="有給休暇",X17&lt;&gt;0),TRUE,FALSE))</f>
        <v/>
      </c>
      <c r="V17" s="824">
        <f>勤務表!A21</f>
        <v/>
      </c>
      <c r="W17" s="322">
        <f>勤務表!T21</f>
        <v/>
      </c>
      <c r="X17" s="322">
        <f>勤務表!J21</f>
        <v/>
      </c>
    </row>
    <row r="18">
      <c r="A18" s="322">
        <f>COUNTIF($G$4:$G18,"振替休暇（半日）")</f>
        <v/>
      </c>
      <c r="B18" s="322">
        <f>COUNTIF($G$4:$G18,"有給休暇（半日）")</f>
        <v/>
      </c>
      <c r="C18" s="322">
        <f>COUNTIF($G$4:$G18,"会社規定休")</f>
        <v/>
      </c>
      <c r="D18" s="322">
        <f>COUNTIF($G$4:$G18,"振替休暇")</f>
        <v/>
      </c>
      <c r="E18" s="322">
        <f>COUNTIF($G$4:$G18,"慶弔休暇")</f>
        <v/>
      </c>
      <c r="F18" s="322">
        <f>COUNTIF($G$4:$G18,"有給休暇")</f>
        <v/>
      </c>
      <c r="G18" s="322">
        <f>IF(勤務表!T22=0,"",勤務表!T22)</f>
        <v/>
      </c>
      <c r="H18" s="824">
        <f>勤務表!A22</f>
        <v/>
      </c>
      <c r="I18" s="322">
        <f>勤務表!U22</f>
        <v/>
      </c>
      <c r="J18" s="322">
        <f>IFERROR(LEFT(I18,1),"")</f>
        <v/>
      </c>
      <c r="K18" s="313">
        <f>IF(Q18="","",IF(Q18-Q17=1,IFERROR(IF(Q19-Q18=1,"~",2),2),1))</f>
        <v/>
      </c>
      <c r="L18" s="313">
        <f>IF(K18="","",COUNTIF($K$4:K18,1))</f>
        <v/>
      </c>
      <c r="M18" s="313">
        <f>IF(K18="","",COUNTIF($K$4:K18,2))</f>
        <v/>
      </c>
      <c r="N18" s="826">
        <f>Q18</f>
        <v/>
      </c>
      <c r="O18" s="827">
        <f>K19</f>
        <v/>
      </c>
      <c r="P18" s="824">
        <f>IFERROR(VLOOKUP(1,$M$4:$N$17,2,FALSE),"")</f>
        <v/>
      </c>
      <c r="Q18" s="326">
        <f>IFERROR(VLOOKUP(R18,$F$4:$H$34,3,FALSE),"")</f>
        <v/>
      </c>
      <c r="R18" s="322" t="n">
        <v>15</v>
      </c>
      <c r="T18" s="322">
        <f>COUNTIF($U$4:U18,TRUE)</f>
        <v/>
      </c>
      <c r="U18" s="322">
        <f>IF(W18="","",IF(OR(W18="有給休暇",X18&lt;&gt;0),TRUE,FALSE))</f>
        <v/>
      </c>
      <c r="V18" s="824">
        <f>勤務表!A22</f>
        <v/>
      </c>
      <c r="W18" s="322">
        <f>勤務表!T22</f>
        <v/>
      </c>
      <c r="X18" s="322">
        <f>勤務表!J22</f>
        <v/>
      </c>
    </row>
    <row r="19">
      <c r="A19" s="322">
        <f>COUNTIF($G$4:$G19,"振替休暇（半日）")</f>
        <v/>
      </c>
      <c r="B19" s="322">
        <f>COUNTIF($G$4:$G19,"有給休暇（半日）")</f>
        <v/>
      </c>
      <c r="C19" s="322">
        <f>COUNTIF($G$4:$G19,"会社規定休")</f>
        <v/>
      </c>
      <c r="D19" s="322">
        <f>COUNTIF($G$4:$G19,"振替休暇")</f>
        <v/>
      </c>
      <c r="E19" s="322">
        <f>COUNTIF($G$4:$G19,"慶弔休暇")</f>
        <v/>
      </c>
      <c r="F19" s="322">
        <f>COUNTIF($G$4:$G19,"有給休暇")</f>
        <v/>
      </c>
      <c r="G19" s="322">
        <f>IF(勤務表!T23=0,"",勤務表!T23)</f>
        <v/>
      </c>
      <c r="H19" s="824">
        <f>勤務表!A23</f>
        <v/>
      </c>
      <c r="I19" s="322">
        <f>勤務表!U23</f>
        <v/>
      </c>
      <c r="J19" s="322">
        <f>IFERROR(LEFT(I19,1),"")</f>
        <v/>
      </c>
      <c r="K19" s="313">
        <f>IF(Q19="","",IF(Q19-Q18=1,IFERROR(IF(Q20-Q19=1,"~",2),2),1))</f>
        <v/>
      </c>
      <c r="L19" s="313">
        <f>IF(K19="","",COUNTIF($K$4:K19,1))</f>
        <v/>
      </c>
      <c r="M19" s="313">
        <f>IF(K19="","",COUNTIF($K$4:K19,2))</f>
        <v/>
      </c>
      <c r="N19" s="826">
        <f>Q19</f>
        <v/>
      </c>
      <c r="O19" s="827">
        <f>K20</f>
        <v/>
      </c>
      <c r="P19" s="824">
        <f>IFERROR(VLOOKUP(1,$M$4:$N$17,2,FALSE),"")</f>
        <v/>
      </c>
      <c r="Q19" s="326">
        <f>IFERROR(VLOOKUP(R19,$F$4:$H$34,3,FALSE),"")</f>
        <v/>
      </c>
      <c r="R19" s="322" t="n">
        <v>16</v>
      </c>
      <c r="T19" s="322">
        <f>COUNTIF($U$4:U19,TRUE)</f>
        <v/>
      </c>
      <c r="U19" s="322">
        <f>IF(W19="","",IF(OR(W19="有給休暇",X19&lt;&gt;0),TRUE,FALSE))</f>
        <v/>
      </c>
      <c r="V19" s="824">
        <f>勤務表!A23</f>
        <v/>
      </c>
      <c r="W19" s="322">
        <f>勤務表!T23</f>
        <v/>
      </c>
      <c r="X19" s="322">
        <f>勤務表!J23</f>
        <v/>
      </c>
    </row>
    <row r="20">
      <c r="A20" s="322">
        <f>COUNTIF($G$4:$G20,"振替休暇（半日）")</f>
        <v/>
      </c>
      <c r="B20" s="322">
        <f>COUNTIF($G$4:$G20,"有給休暇（半日）")</f>
        <v/>
      </c>
      <c r="C20" s="322">
        <f>COUNTIF($G$4:$G20,"会社規定休")</f>
        <v/>
      </c>
      <c r="D20" s="322">
        <f>COUNTIF($G$4:$G20,"振替休暇")</f>
        <v/>
      </c>
      <c r="E20" s="322">
        <f>COUNTIF($G$4:$G20,"慶弔休暇")</f>
        <v/>
      </c>
      <c r="F20" s="322">
        <f>COUNTIF($G$4:$G20,"有給休暇")</f>
        <v/>
      </c>
      <c r="G20" s="322">
        <f>IF(勤務表!T24=0,"",勤務表!T24)</f>
        <v/>
      </c>
      <c r="H20" s="824">
        <f>勤務表!A24</f>
        <v/>
      </c>
      <c r="I20" s="322">
        <f>勤務表!U24</f>
        <v/>
      </c>
      <c r="J20" s="322">
        <f>IFERROR(LEFT(I20,1),"")</f>
        <v/>
      </c>
      <c r="K20" s="313">
        <f>IF(Q20="","",IF(Q20-Q19=1,IFERROR(IF(Q21-Q20=1,"~",2),2),1))</f>
        <v/>
      </c>
      <c r="L20" s="313">
        <f>IF(K20="","",COUNTIF($K$4:K20,1))</f>
        <v/>
      </c>
      <c r="M20" s="313">
        <f>IF(K20="","",COUNTIF($K$4:K20,2))</f>
        <v/>
      </c>
      <c r="N20" s="826">
        <f>Q20</f>
        <v/>
      </c>
      <c r="O20" s="827">
        <f>K21</f>
        <v/>
      </c>
      <c r="P20" s="824">
        <f>IFERROR(VLOOKUP(1,$M$4:$N$17,2,FALSE),"")</f>
        <v/>
      </c>
      <c r="Q20" s="326">
        <f>IFERROR(VLOOKUP(R20,$F$4:$H$34,3,FALSE),"")</f>
        <v/>
      </c>
      <c r="R20" s="322" t="n">
        <v>17</v>
      </c>
      <c r="T20" s="322">
        <f>COUNTIF($U$4:U20,TRUE)</f>
        <v/>
      </c>
      <c r="U20" s="322">
        <f>IF(W20="","",IF(OR(W20="有給休暇",X20&lt;&gt;0),TRUE,FALSE))</f>
        <v/>
      </c>
      <c r="V20" s="824">
        <f>勤務表!A24</f>
        <v/>
      </c>
      <c r="W20" s="322">
        <f>勤務表!T24</f>
        <v/>
      </c>
      <c r="X20" s="322">
        <f>勤務表!J24</f>
        <v/>
      </c>
    </row>
    <row r="21">
      <c r="A21" s="322">
        <f>COUNTIF($G$4:$G21,"振替休暇（半日）")</f>
        <v/>
      </c>
      <c r="B21" s="322">
        <f>COUNTIF($G$4:$G21,"有給休暇（半日）")</f>
        <v/>
      </c>
      <c r="C21" s="322">
        <f>COUNTIF($G$4:$G21,"会社規定休")</f>
        <v/>
      </c>
      <c r="D21" s="322">
        <f>COUNTIF($G$4:$G21,"振替休暇")</f>
        <v/>
      </c>
      <c r="E21" s="322">
        <f>COUNTIF($G$4:$G21,"慶弔休暇")</f>
        <v/>
      </c>
      <c r="F21" s="322">
        <f>COUNTIF($G$4:$G21,"有給休暇")</f>
        <v/>
      </c>
      <c r="G21" s="322">
        <f>IF(勤務表!T25=0,"",勤務表!T25)</f>
        <v/>
      </c>
      <c r="H21" s="824">
        <f>勤務表!A25</f>
        <v/>
      </c>
      <c r="I21" s="322">
        <f>勤務表!U25</f>
        <v/>
      </c>
      <c r="J21" s="322">
        <f>IFERROR(LEFT(I21,1),"")</f>
        <v/>
      </c>
      <c r="K21" s="313">
        <f>IF(Q21="","",IF(Q21-Q20=1,IFERROR(IF(Q22-Q21=1,"~",2),2),1))</f>
        <v/>
      </c>
      <c r="L21" s="313">
        <f>IF(K21="","",COUNTIF($K$4:K21,1))</f>
        <v/>
      </c>
      <c r="M21" s="313">
        <f>IF(K21="","",COUNTIF($K$4:K21,2))</f>
        <v/>
      </c>
      <c r="N21" s="826">
        <f>Q21</f>
        <v/>
      </c>
      <c r="O21" s="827">
        <f>K22</f>
        <v/>
      </c>
      <c r="P21" s="824">
        <f>IFERROR(VLOOKUP(1,$M$4:$N$17,2,FALSE),"")</f>
        <v/>
      </c>
      <c r="Q21" s="326">
        <f>IFERROR(VLOOKUP(R21,$F$4:$H$34,3,FALSE),"")</f>
        <v/>
      </c>
      <c r="R21" s="322" t="n">
        <v>18</v>
      </c>
      <c r="T21" s="322">
        <f>COUNTIF($U$4:U21,TRUE)</f>
        <v/>
      </c>
      <c r="U21" s="322">
        <f>IF(W21="","",IF(OR(W21="有給休暇",X21&lt;&gt;0),TRUE,FALSE))</f>
        <v/>
      </c>
      <c r="V21" s="824">
        <f>勤務表!A25</f>
        <v/>
      </c>
      <c r="W21" s="322">
        <f>勤務表!T25</f>
        <v/>
      </c>
      <c r="X21" s="322">
        <f>勤務表!J25</f>
        <v/>
      </c>
    </row>
    <row r="22">
      <c r="A22" s="322">
        <f>COUNTIF($G$4:$G22,"振替休暇（半日）")</f>
        <v/>
      </c>
      <c r="B22" s="322">
        <f>COUNTIF($G$4:$G22,"有給休暇（半日）")</f>
        <v/>
      </c>
      <c r="C22" s="322">
        <f>COUNTIF($G$4:$G22,"会社規定休")</f>
        <v/>
      </c>
      <c r="D22" s="322">
        <f>COUNTIF($G$4:$G22,"振替休暇")</f>
        <v/>
      </c>
      <c r="E22" s="322">
        <f>COUNTIF($G$4:$G22,"慶弔休暇")</f>
        <v/>
      </c>
      <c r="F22" s="322">
        <f>COUNTIF($G$4:$G22,"有給休暇")</f>
        <v/>
      </c>
      <c r="G22" s="322">
        <f>IF(勤務表!T26=0,"",勤務表!T26)</f>
        <v/>
      </c>
      <c r="H22" s="824">
        <f>勤務表!A26</f>
        <v/>
      </c>
      <c r="I22" s="322">
        <f>勤務表!U26</f>
        <v/>
      </c>
      <c r="J22" s="322">
        <f>IFERROR(LEFT(I22,1),"")</f>
        <v/>
      </c>
      <c r="K22" s="313">
        <f>IF(Q22="","",IF(Q22-Q21=1,IFERROR(IF(Q23-Q22=1,"~",2),2),1))</f>
        <v/>
      </c>
      <c r="L22" s="313">
        <f>IF(K22="","",COUNTIF($K$4:K22,1))</f>
        <v/>
      </c>
      <c r="M22" s="313">
        <f>IF(K22="","",COUNTIF($K$4:K22,2))</f>
        <v/>
      </c>
      <c r="N22" s="826">
        <f>Q22</f>
        <v/>
      </c>
      <c r="O22" s="827">
        <f>K23</f>
        <v/>
      </c>
      <c r="P22" s="824">
        <f>IFERROR(VLOOKUP(1,$M$4:$N$17,2,FALSE),"")</f>
        <v/>
      </c>
      <c r="Q22" s="326">
        <f>IFERROR(VLOOKUP(R22,$F$4:$H$34,3,FALSE),"")</f>
        <v/>
      </c>
      <c r="R22" s="322" t="n">
        <v>19</v>
      </c>
      <c r="T22" s="322">
        <f>COUNTIF($U$4:U22,TRUE)</f>
        <v/>
      </c>
      <c r="U22" s="322">
        <f>IF(W22="","",IF(OR(W22="有給休暇",X22&lt;&gt;0),TRUE,FALSE))</f>
        <v/>
      </c>
      <c r="V22" s="824">
        <f>勤務表!A26</f>
        <v/>
      </c>
      <c r="W22" s="322">
        <f>勤務表!T26</f>
        <v/>
      </c>
      <c r="X22" s="322">
        <f>勤務表!J26</f>
        <v/>
      </c>
    </row>
    <row r="23">
      <c r="A23" s="322">
        <f>COUNTIF($G$4:$G23,"振替休暇（半日）")</f>
        <v/>
      </c>
      <c r="B23" s="322">
        <f>COUNTIF($G$4:$G23,"有給休暇（半日）")</f>
        <v/>
      </c>
      <c r="C23" s="322">
        <f>COUNTIF($G$4:$G23,"会社規定休")</f>
        <v/>
      </c>
      <c r="D23" s="322">
        <f>COUNTIF($G$4:$G23,"振替休暇")</f>
        <v/>
      </c>
      <c r="E23" s="322">
        <f>COUNTIF($G$4:$G23,"慶弔休暇")</f>
        <v/>
      </c>
      <c r="F23" s="322">
        <f>COUNTIF($G$4:$G23,"有給休暇")</f>
        <v/>
      </c>
      <c r="G23" s="322">
        <f>IF(勤務表!T27=0,"",勤務表!T27)</f>
        <v/>
      </c>
      <c r="H23" s="824">
        <f>勤務表!A27</f>
        <v/>
      </c>
      <c r="I23" s="322">
        <f>勤務表!U27</f>
        <v/>
      </c>
      <c r="J23" s="322">
        <f>IFERROR(LEFT(I23,1),"")</f>
        <v/>
      </c>
      <c r="K23" s="313">
        <f>IF(Q23="","",IF(Q23-Q22=1,IFERROR(IF(Q24-Q23=1,"~",2),2),1))</f>
        <v/>
      </c>
      <c r="L23" s="313">
        <f>IF(K23="","",COUNTIF($K$4:K23,1))</f>
        <v/>
      </c>
      <c r="M23" s="313">
        <f>IF(K23="","",COUNTIF($K$4:K23,2))</f>
        <v/>
      </c>
      <c r="N23" s="826">
        <f>Q23</f>
        <v/>
      </c>
      <c r="O23" s="827">
        <f>K24</f>
        <v/>
      </c>
      <c r="P23" s="824">
        <f>IFERROR(VLOOKUP(1,$M$4:$N$17,2,FALSE),"")</f>
        <v/>
      </c>
      <c r="Q23" s="326">
        <f>IFERROR(VLOOKUP(R23,$F$4:$H$34,3,FALSE),"")</f>
        <v/>
      </c>
      <c r="R23" s="322" t="n">
        <v>20</v>
      </c>
      <c r="T23" s="322">
        <f>COUNTIF($U$4:U23,TRUE)</f>
        <v/>
      </c>
      <c r="U23" s="322">
        <f>IF(W23="","",IF(OR(W23="有給休暇",X23&lt;&gt;0),TRUE,FALSE))</f>
        <v/>
      </c>
      <c r="V23" s="824">
        <f>勤務表!A27</f>
        <v/>
      </c>
      <c r="W23" s="322">
        <f>勤務表!T27</f>
        <v/>
      </c>
      <c r="X23" s="322">
        <f>勤務表!J27</f>
        <v/>
      </c>
    </row>
    <row r="24">
      <c r="A24" s="322">
        <f>COUNTIF($G$4:$G24,"振替休暇（半日）")</f>
        <v/>
      </c>
      <c r="B24" s="322">
        <f>COUNTIF($G$4:$G24,"有給休暇（半日）")</f>
        <v/>
      </c>
      <c r="C24" s="322">
        <f>COUNTIF($G$4:$G24,"会社規定休")</f>
        <v/>
      </c>
      <c r="D24" s="322">
        <f>COUNTIF($G$4:$G24,"振替休暇")</f>
        <v/>
      </c>
      <c r="E24" s="322">
        <f>COUNTIF($G$4:$G24,"慶弔休暇")</f>
        <v/>
      </c>
      <c r="F24" s="322">
        <f>COUNTIF($G$4:$G24,"有給休暇")</f>
        <v/>
      </c>
      <c r="G24" s="322">
        <f>IF(勤務表!T28=0,"",勤務表!T28)</f>
        <v/>
      </c>
      <c r="H24" s="824">
        <f>勤務表!A28</f>
        <v/>
      </c>
      <c r="I24" s="322">
        <f>勤務表!U28</f>
        <v/>
      </c>
      <c r="J24" s="322">
        <f>IFERROR(LEFT(I24,1),"")</f>
        <v/>
      </c>
      <c r="K24" s="313">
        <f>IF(Q24="","",IF(Q24-Q23=1,IFERROR(IF(Q25-Q24=1,"~",2),2),1))</f>
        <v/>
      </c>
      <c r="L24" s="313">
        <f>IF(K24="","",COUNTIF($K$4:K24,1))</f>
        <v/>
      </c>
      <c r="M24" s="313">
        <f>IF(K24="","",COUNTIF($K$4:K24,2))</f>
        <v/>
      </c>
      <c r="N24" s="826">
        <f>Q24</f>
        <v/>
      </c>
      <c r="O24" s="827">
        <f>K25</f>
        <v/>
      </c>
      <c r="P24" s="824">
        <f>IFERROR(VLOOKUP(1,$M$4:$N$17,2,FALSE),"")</f>
        <v/>
      </c>
      <c r="Q24" s="326">
        <f>IFERROR(VLOOKUP(R24,$F$4:$H$34,3,FALSE),"")</f>
        <v/>
      </c>
      <c r="R24" s="322" t="n">
        <v>21</v>
      </c>
      <c r="T24" s="322">
        <f>COUNTIF($U$4:U24,TRUE)</f>
        <v/>
      </c>
      <c r="U24" s="322">
        <f>IF(W24="","",IF(OR(W24="有給休暇",X24&lt;&gt;0),TRUE,FALSE))</f>
        <v/>
      </c>
      <c r="V24" s="824">
        <f>勤務表!A28</f>
        <v/>
      </c>
      <c r="W24" s="322">
        <f>勤務表!T28</f>
        <v/>
      </c>
      <c r="X24" s="322">
        <f>勤務表!J28</f>
        <v/>
      </c>
    </row>
    <row r="25">
      <c r="A25" s="322">
        <f>COUNTIF($G$4:$G25,"振替休暇（半日）")</f>
        <v/>
      </c>
      <c r="B25" s="322">
        <f>COUNTIF($G$4:$G25,"有給休暇（半日）")</f>
        <v/>
      </c>
      <c r="C25" s="322">
        <f>COUNTIF($G$4:$G25,"会社規定休")</f>
        <v/>
      </c>
      <c r="D25" s="322">
        <f>COUNTIF($G$4:$G25,"振替休暇")</f>
        <v/>
      </c>
      <c r="E25" s="322">
        <f>COUNTIF($G$4:$G25,"慶弔休暇")</f>
        <v/>
      </c>
      <c r="F25" s="322">
        <f>COUNTIF($G$4:$G25,"有給休暇")</f>
        <v/>
      </c>
      <c r="G25" s="322">
        <f>IF(勤務表!T29=0,"",勤務表!T29)</f>
        <v/>
      </c>
      <c r="H25" s="824">
        <f>勤務表!A29</f>
        <v/>
      </c>
      <c r="I25" s="322">
        <f>勤務表!U29</f>
        <v/>
      </c>
      <c r="J25" s="322">
        <f>IFERROR(LEFT(I25,1),"")</f>
        <v/>
      </c>
      <c r="K25" s="313">
        <f>IF(Q25="","",IF(Q25-Q24=1,IFERROR(IF(Q26-Q25=1,"~",2),2),1))</f>
        <v/>
      </c>
      <c r="L25" s="313">
        <f>IF(K25="","",COUNTIF($K$4:K25,1))</f>
        <v/>
      </c>
      <c r="M25" s="313">
        <f>IF(K25="","",COUNTIF($K$4:K25,2))</f>
        <v/>
      </c>
      <c r="N25" s="826">
        <f>Q25</f>
        <v/>
      </c>
      <c r="O25" s="827">
        <f>K26</f>
        <v/>
      </c>
      <c r="P25" s="824">
        <f>IFERROR(VLOOKUP(1,$M$4:$N$17,2,FALSE),"")</f>
        <v/>
      </c>
      <c r="Q25" s="326">
        <f>IFERROR(VLOOKUP(R25,$F$4:$H$34,3,FALSE),"")</f>
        <v/>
      </c>
      <c r="R25" s="322" t="n">
        <v>22</v>
      </c>
      <c r="T25" s="322">
        <f>COUNTIF($U$4:U25,TRUE)</f>
        <v/>
      </c>
      <c r="U25" s="322">
        <f>IF(W25="","",IF(OR(W25="有給休暇",X25&lt;&gt;0),TRUE,FALSE))</f>
        <v/>
      </c>
      <c r="V25" s="824">
        <f>勤務表!A29</f>
        <v/>
      </c>
      <c r="W25" s="322">
        <f>勤務表!T29</f>
        <v/>
      </c>
      <c r="X25" s="322">
        <f>勤務表!J29</f>
        <v/>
      </c>
    </row>
    <row r="26">
      <c r="A26" s="322">
        <f>COUNTIF($G$4:$G26,"振替休暇（半日）")</f>
        <v/>
      </c>
      <c r="B26" s="322">
        <f>COUNTIF($G$4:$G26,"有給休暇（半日）")</f>
        <v/>
      </c>
      <c r="C26" s="322">
        <f>COUNTIF($G$4:$G26,"会社規定休")</f>
        <v/>
      </c>
      <c r="D26" s="322">
        <f>COUNTIF($G$4:$G26,"振替休暇")</f>
        <v/>
      </c>
      <c r="E26" s="322">
        <f>COUNTIF($G$4:$G26,"慶弔休暇")</f>
        <v/>
      </c>
      <c r="F26" s="322">
        <f>COUNTIF($G$4:$G26,"有給休暇")</f>
        <v/>
      </c>
      <c r="G26" s="322">
        <f>IF(勤務表!T30=0,"",勤務表!T30)</f>
        <v/>
      </c>
      <c r="H26" s="824">
        <f>勤務表!A30</f>
        <v/>
      </c>
      <c r="I26" s="322">
        <f>勤務表!U30</f>
        <v/>
      </c>
      <c r="J26" s="322">
        <f>IFERROR(LEFT(I26,1),"")</f>
        <v/>
      </c>
      <c r="K26" s="313">
        <f>IF(Q26="","",IF(Q26-Q25=1,IFERROR(IF(Q27-Q26=1,"~",2),2),1))</f>
        <v/>
      </c>
      <c r="L26" s="313">
        <f>IF(K26="","",COUNTIF($K$4:K26,1))</f>
        <v/>
      </c>
      <c r="M26" s="313">
        <f>IF(K26="","",COUNTIF($K$4:K26,2))</f>
        <v/>
      </c>
      <c r="N26" s="826">
        <f>Q26</f>
        <v/>
      </c>
      <c r="O26" s="827">
        <f>K27</f>
        <v/>
      </c>
      <c r="P26" s="824">
        <f>IFERROR(VLOOKUP(1,$M$4:$N$17,2,FALSE),"")</f>
        <v/>
      </c>
      <c r="Q26" s="326">
        <f>IFERROR(VLOOKUP(R26,$F$4:$H$34,3,FALSE),"")</f>
        <v/>
      </c>
      <c r="R26" s="322" t="n">
        <v>23</v>
      </c>
      <c r="T26" s="322">
        <f>COUNTIF($U$4:U26,TRUE)</f>
        <v/>
      </c>
      <c r="U26" s="322">
        <f>IF(W26="","",IF(OR(W26="有給休暇",X26&lt;&gt;0),TRUE,FALSE))</f>
        <v/>
      </c>
      <c r="V26" s="824">
        <f>勤務表!A30</f>
        <v/>
      </c>
      <c r="W26" s="322">
        <f>勤務表!T30</f>
        <v/>
      </c>
      <c r="X26" s="322">
        <f>勤務表!J30</f>
        <v/>
      </c>
    </row>
    <row r="27">
      <c r="A27" s="322">
        <f>COUNTIF($G$4:$G27,"振替休暇（半日）")</f>
        <v/>
      </c>
      <c r="B27" s="322">
        <f>COUNTIF($G$4:$G27,"有給休暇（半日）")</f>
        <v/>
      </c>
      <c r="C27" s="322">
        <f>COUNTIF($G$4:$G27,"会社規定休")</f>
        <v/>
      </c>
      <c r="D27" s="322">
        <f>COUNTIF($G$4:$G27,"振替休暇")</f>
        <v/>
      </c>
      <c r="E27" s="322">
        <f>COUNTIF($G$4:$G27,"慶弔休暇")</f>
        <v/>
      </c>
      <c r="F27" s="322">
        <f>COUNTIF($G$4:$G27,"有給休暇")</f>
        <v/>
      </c>
      <c r="G27" s="322">
        <f>IF(勤務表!T31=0,"",勤務表!T31)</f>
        <v/>
      </c>
      <c r="H27" s="824">
        <f>勤務表!A31</f>
        <v/>
      </c>
      <c r="I27" s="322">
        <f>勤務表!U31</f>
        <v/>
      </c>
      <c r="J27" s="322">
        <f>IFERROR(LEFT(I27,1),"")</f>
        <v/>
      </c>
      <c r="K27" s="313">
        <f>IF(Q27="","",IF(Q27-Q26=1,IFERROR(IF(Q28-Q27=1,"~",2),2),1))</f>
        <v/>
      </c>
      <c r="L27" s="313">
        <f>IF(K27="","",COUNTIF($K$4:K27,1))</f>
        <v/>
      </c>
      <c r="M27" s="313">
        <f>IF(K27="","",COUNTIF($K$4:K27,2))</f>
        <v/>
      </c>
      <c r="N27" s="826">
        <f>Q27</f>
        <v/>
      </c>
      <c r="O27" s="827">
        <f>K28</f>
        <v/>
      </c>
      <c r="P27" s="824">
        <f>IFERROR(VLOOKUP(1,$M$4:$N$17,2,FALSE),"")</f>
        <v/>
      </c>
      <c r="Q27" s="326">
        <f>IFERROR(VLOOKUP(R27,$F$4:$H$34,3,FALSE),"")</f>
        <v/>
      </c>
      <c r="R27" s="322" t="n">
        <v>24</v>
      </c>
      <c r="T27" s="322">
        <f>COUNTIF($U$4:U27,TRUE)</f>
        <v/>
      </c>
      <c r="U27" s="322">
        <f>IF(W27="","",IF(OR(W27="有給休暇",X27&lt;&gt;0),TRUE,FALSE))</f>
        <v/>
      </c>
      <c r="V27" s="824">
        <f>勤務表!A31</f>
        <v/>
      </c>
      <c r="W27" s="322">
        <f>勤務表!T31</f>
        <v/>
      </c>
      <c r="X27" s="322">
        <f>勤務表!J31</f>
        <v/>
      </c>
    </row>
    <row r="28">
      <c r="A28" s="322">
        <f>COUNTIF($G$4:$G28,"振替休暇（半日）")</f>
        <v/>
      </c>
      <c r="B28" s="322">
        <f>COUNTIF($G$4:$G28,"有給休暇（半日）")</f>
        <v/>
      </c>
      <c r="C28" s="322">
        <f>COUNTIF($G$4:$G28,"会社規定休")</f>
        <v/>
      </c>
      <c r="D28" s="322">
        <f>COUNTIF($G$4:$G28,"振替休暇")</f>
        <v/>
      </c>
      <c r="E28" s="322">
        <f>COUNTIF($G$4:$G28,"慶弔休暇")</f>
        <v/>
      </c>
      <c r="F28" s="322">
        <f>COUNTIF($G$4:$G28,"有給休暇")</f>
        <v/>
      </c>
      <c r="G28" s="322">
        <f>IF(勤務表!T32=0,"",勤務表!T32)</f>
        <v/>
      </c>
      <c r="H28" s="824">
        <f>勤務表!A32</f>
        <v/>
      </c>
      <c r="I28" s="322">
        <f>勤務表!U32</f>
        <v/>
      </c>
      <c r="J28" s="322">
        <f>IFERROR(LEFT(I28,1),"")</f>
        <v/>
      </c>
      <c r="K28" s="313">
        <f>IF(Q28="","",IF(Q28-Q27=1,IFERROR(IF(Q29-Q28=1,"~",2),2),1))</f>
        <v/>
      </c>
      <c r="L28" s="313">
        <f>IF(K28="","",COUNTIF($K$4:K28,1))</f>
        <v/>
      </c>
      <c r="M28" s="313">
        <f>IF(K28="","",COUNTIF($K$4:K28,2))</f>
        <v/>
      </c>
      <c r="N28" s="826">
        <f>Q28</f>
        <v/>
      </c>
      <c r="O28" s="827">
        <f>K29</f>
        <v/>
      </c>
      <c r="P28" s="824">
        <f>IFERROR(VLOOKUP(1,$M$4:$N$17,2,FALSE),"")</f>
        <v/>
      </c>
      <c r="Q28" s="326">
        <f>IFERROR(VLOOKUP(R28,$F$4:$H$34,3,FALSE),"")</f>
        <v/>
      </c>
      <c r="R28" s="322" t="n">
        <v>25</v>
      </c>
      <c r="T28" s="322">
        <f>COUNTIF($U$4:U28,TRUE)</f>
        <v/>
      </c>
      <c r="U28" s="322">
        <f>IF(W28="","",IF(OR(W28="有給休暇",X28&lt;&gt;0),TRUE,FALSE))</f>
        <v/>
      </c>
      <c r="V28" s="824">
        <f>勤務表!A32</f>
        <v/>
      </c>
      <c r="W28" s="322">
        <f>勤務表!T32</f>
        <v/>
      </c>
      <c r="X28" s="322">
        <f>勤務表!J32</f>
        <v/>
      </c>
    </row>
    <row r="29">
      <c r="A29" s="322">
        <f>COUNTIF($G$4:$G29,"振替休暇（半日）")</f>
        <v/>
      </c>
      <c r="B29" s="322">
        <f>COUNTIF($G$4:$G29,"有給休暇（半日）")</f>
        <v/>
      </c>
      <c r="C29" s="322">
        <f>COUNTIF($G$4:$G29,"会社規定休")</f>
        <v/>
      </c>
      <c r="D29" s="322">
        <f>COUNTIF($G$4:$G29,"振替休暇")</f>
        <v/>
      </c>
      <c r="E29" s="322">
        <f>COUNTIF($G$4:$G29,"慶弔休暇")</f>
        <v/>
      </c>
      <c r="F29" s="322">
        <f>COUNTIF($G$4:$G29,"有給休暇")</f>
        <v/>
      </c>
      <c r="G29" s="322">
        <f>IF(勤務表!T33=0,"",勤務表!T33)</f>
        <v/>
      </c>
      <c r="H29" s="824">
        <f>勤務表!A33</f>
        <v/>
      </c>
      <c r="I29" s="322">
        <f>勤務表!U33</f>
        <v/>
      </c>
      <c r="J29" s="322">
        <f>IFERROR(LEFT(I29,1),"")</f>
        <v/>
      </c>
      <c r="K29" s="313">
        <f>IF(Q29="","",IF(Q29-Q28=1,IFERROR(IF(Q30-Q29=1,"~",2),2),1))</f>
        <v/>
      </c>
      <c r="L29" s="313">
        <f>IF(K29="","",COUNTIF($K$4:K29,1))</f>
        <v/>
      </c>
      <c r="M29" s="313">
        <f>IF(K29="","",COUNTIF($K$4:K29,2))</f>
        <v/>
      </c>
      <c r="N29" s="826">
        <f>Q29</f>
        <v/>
      </c>
      <c r="O29" s="827">
        <f>K30</f>
        <v/>
      </c>
      <c r="P29" s="824">
        <f>IFERROR(VLOOKUP(1,$M$4:$N$17,2,FALSE),"")</f>
        <v/>
      </c>
      <c r="Q29" s="326">
        <f>IFERROR(VLOOKUP(R29,$F$4:$H$34,3,FALSE),"")</f>
        <v/>
      </c>
      <c r="R29" s="322" t="n">
        <v>26</v>
      </c>
      <c r="T29" s="322">
        <f>COUNTIF($U$4:U29,TRUE)</f>
        <v/>
      </c>
      <c r="U29" s="322">
        <f>IF(W29="","",IF(OR(W29="有給休暇",X29&lt;&gt;0),TRUE,FALSE))</f>
        <v/>
      </c>
      <c r="V29" s="824">
        <f>勤務表!A33</f>
        <v/>
      </c>
      <c r="W29" s="322">
        <f>勤務表!T33</f>
        <v/>
      </c>
      <c r="X29" s="322">
        <f>勤務表!J33</f>
        <v/>
      </c>
    </row>
    <row r="30">
      <c r="A30" s="322">
        <f>COUNTIF($G$4:$G30,"振替休暇（半日）")</f>
        <v/>
      </c>
      <c r="B30" s="322">
        <f>COUNTIF($G$4:$G30,"有給休暇（半日）")</f>
        <v/>
      </c>
      <c r="C30" s="322">
        <f>COUNTIF($G$4:$G30,"会社規定休")</f>
        <v/>
      </c>
      <c r="D30" s="322">
        <f>COUNTIF($G$4:$G30,"振替休暇")</f>
        <v/>
      </c>
      <c r="E30" s="322">
        <f>COUNTIF($G$4:$G30,"慶弔休暇")</f>
        <v/>
      </c>
      <c r="F30" s="322">
        <f>COUNTIF($G$4:$G30,"有給休暇")</f>
        <v/>
      </c>
      <c r="G30" s="322">
        <f>IF(勤務表!T34=0,"",勤務表!T34)</f>
        <v/>
      </c>
      <c r="H30" s="824">
        <f>勤務表!A34</f>
        <v/>
      </c>
      <c r="I30" s="322">
        <f>勤務表!U34</f>
        <v/>
      </c>
      <c r="J30" s="322">
        <f>IFERROR(LEFT(I30,1),"")</f>
        <v/>
      </c>
      <c r="K30" s="313">
        <f>IF(Q30="","",IF(Q30-Q29=1,IFERROR(IF(Q31-Q30=1,"~",2),2),1))</f>
        <v/>
      </c>
      <c r="L30" s="313">
        <f>IF(K30="","",COUNTIF($K$4:K30,1))</f>
        <v/>
      </c>
      <c r="M30" s="313">
        <f>IF(K30="","",COUNTIF($K$4:K30,2))</f>
        <v/>
      </c>
      <c r="N30" s="826">
        <f>Q30</f>
        <v/>
      </c>
      <c r="O30" s="827">
        <f>K31</f>
        <v/>
      </c>
      <c r="P30" s="824">
        <f>IFERROR(VLOOKUP(1,$M$4:$N$17,2,FALSE),"")</f>
        <v/>
      </c>
      <c r="Q30" s="326">
        <f>IFERROR(VLOOKUP(R30,$F$4:$H$34,3,FALSE),"")</f>
        <v/>
      </c>
      <c r="R30" s="322" t="n">
        <v>27</v>
      </c>
      <c r="T30" s="322">
        <f>COUNTIF($U$4:U30,TRUE)</f>
        <v/>
      </c>
      <c r="U30" s="322">
        <f>IF(W30="","",IF(OR(W30="有給休暇",X30&lt;&gt;0),TRUE,FALSE))</f>
        <v/>
      </c>
      <c r="V30" s="824">
        <f>勤務表!A34</f>
        <v/>
      </c>
      <c r="W30" s="322">
        <f>勤務表!T34</f>
        <v/>
      </c>
      <c r="X30" s="322">
        <f>勤務表!J34</f>
        <v/>
      </c>
    </row>
    <row r="31">
      <c r="A31" s="322">
        <f>COUNTIF($G$4:$G31,"振替休暇（半日）")</f>
        <v/>
      </c>
      <c r="B31" s="322">
        <f>COUNTIF($G$4:$G31,"有給休暇（半日）")</f>
        <v/>
      </c>
      <c r="C31" s="322">
        <f>COUNTIF($G$4:$G31,"会社規定休")</f>
        <v/>
      </c>
      <c r="D31" s="322">
        <f>COUNTIF($G$4:$G31,"振替休暇")</f>
        <v/>
      </c>
      <c r="E31" s="322">
        <f>COUNTIF($G$4:$G31,"慶弔休暇")</f>
        <v/>
      </c>
      <c r="F31" s="322">
        <f>COUNTIF($G$4:$G31,"有給休暇")</f>
        <v/>
      </c>
      <c r="G31" s="322">
        <f>IF(勤務表!T35=0,"",勤務表!T35)</f>
        <v/>
      </c>
      <c r="H31" s="824">
        <f>勤務表!A35</f>
        <v/>
      </c>
      <c r="I31" s="322">
        <f>勤務表!U35</f>
        <v/>
      </c>
      <c r="J31" s="322">
        <f>IFERROR(LEFT(I31,1),"")</f>
        <v/>
      </c>
      <c r="K31" s="313">
        <f>IF(Q31="","",IF(Q31-Q30=1,IFERROR(IF(Q32-Q31=1,"~",2),2),1))</f>
        <v/>
      </c>
      <c r="L31" s="313">
        <f>IF(K31="","",COUNTIF($K$4:K31,1))</f>
        <v/>
      </c>
      <c r="M31" s="313">
        <f>IF(K31="","",COUNTIF($K$4:K31,2))</f>
        <v/>
      </c>
      <c r="N31" s="826">
        <f>Q31</f>
        <v/>
      </c>
      <c r="O31" s="827">
        <f>K32</f>
        <v/>
      </c>
      <c r="P31" s="824">
        <f>IFERROR(VLOOKUP(1,$M$4:$N$17,2,FALSE),"")</f>
        <v/>
      </c>
      <c r="Q31" s="326">
        <f>IFERROR(VLOOKUP(R31,$F$4:$H$34,3,FALSE),"")</f>
        <v/>
      </c>
      <c r="R31" s="322" t="n">
        <v>28</v>
      </c>
      <c r="T31" s="322">
        <f>COUNTIF($U$4:U31,TRUE)</f>
        <v/>
      </c>
      <c r="U31" s="322">
        <f>IF(W31="","",IF(OR(W31="有給休暇",X31&lt;&gt;0),TRUE,FALSE))</f>
        <v/>
      </c>
      <c r="V31" s="824">
        <f>勤務表!A35</f>
        <v/>
      </c>
      <c r="W31" s="322">
        <f>勤務表!T35</f>
        <v/>
      </c>
      <c r="X31" s="322">
        <f>勤務表!J35</f>
        <v/>
      </c>
    </row>
    <row r="32">
      <c r="A32" s="322">
        <f>COUNTIF($G$4:$G32,"振替休暇（半日）")</f>
        <v/>
      </c>
      <c r="B32" s="322">
        <f>COUNTIF($G$4:$G32,"有給休暇（半日）")</f>
        <v/>
      </c>
      <c r="C32" s="322">
        <f>COUNTIF($G$4:$G32,"会社規定休")</f>
        <v/>
      </c>
      <c r="D32" s="322">
        <f>COUNTIF($G$4:$G32,"振替休暇")</f>
        <v/>
      </c>
      <c r="E32" s="322">
        <f>COUNTIF($G$4:$G32,"慶弔休暇")</f>
        <v/>
      </c>
      <c r="F32" s="322">
        <f>COUNTIF($G$4:$G32,"有給休暇")</f>
        <v/>
      </c>
      <c r="G32" s="322">
        <f>IF(勤務表!T36=0,"",勤務表!T36)</f>
        <v/>
      </c>
      <c r="H32" s="824">
        <f>勤務表!A36</f>
        <v/>
      </c>
      <c r="I32" s="322">
        <f>勤務表!U36</f>
        <v/>
      </c>
      <c r="J32" s="322">
        <f>IFERROR(LEFT(I32,1),"")</f>
        <v/>
      </c>
      <c r="K32" s="313">
        <f>IF(Q32="","",IF(Q32-Q31=1,IFERROR(IF(Q33-Q32=1,"~",2),2),1))</f>
        <v/>
      </c>
      <c r="L32" s="313">
        <f>IF(K32="","",COUNTIF($K$4:K32,1))</f>
        <v/>
      </c>
      <c r="M32" s="313">
        <f>IF(K32="","",COUNTIF($K$4:K32,2))</f>
        <v/>
      </c>
      <c r="N32" s="826">
        <f>Q32</f>
        <v/>
      </c>
      <c r="O32" s="827">
        <f>K33</f>
        <v/>
      </c>
      <c r="P32" s="824">
        <f>IFERROR(VLOOKUP(1,$M$4:$N$17,2,FALSE),"")</f>
        <v/>
      </c>
      <c r="Q32" s="326">
        <f>IFERROR(VLOOKUP(R32,$F$4:$H$34,3,FALSE),"")</f>
        <v/>
      </c>
      <c r="R32" s="322" t="n">
        <v>29</v>
      </c>
      <c r="T32" s="322">
        <f>COUNTIF($U$4:U32,TRUE)</f>
        <v/>
      </c>
      <c r="U32" s="322">
        <f>IF(W32="","",IF(OR(W32="有給休暇",X32&lt;&gt;0),TRUE,FALSE))</f>
        <v/>
      </c>
      <c r="V32" s="824">
        <f>勤務表!A36</f>
        <v/>
      </c>
      <c r="W32" s="322">
        <f>勤務表!T36</f>
        <v/>
      </c>
      <c r="X32" s="322">
        <f>勤務表!J36</f>
        <v/>
      </c>
    </row>
    <row r="33">
      <c r="A33" s="322">
        <f>COUNTIF($G$4:$G33,"振替休暇（半日）")</f>
        <v/>
      </c>
      <c r="B33" s="322">
        <f>COUNTIF($G$4:$G33,"有給休暇（半日）")</f>
        <v/>
      </c>
      <c r="C33" s="322">
        <f>COUNTIF($G$4:$G33,"会社規定休")</f>
        <v/>
      </c>
      <c r="D33" s="322">
        <f>COUNTIF($G$4:$G33,"振替休暇")</f>
        <v/>
      </c>
      <c r="E33" s="322">
        <f>COUNTIF($G$4:$G33,"慶弔休暇")</f>
        <v/>
      </c>
      <c r="F33" s="322">
        <f>COUNTIF($G$4:$G33,"有給休暇")</f>
        <v/>
      </c>
      <c r="G33" s="322">
        <f>IF(勤務表!T37=0,"",勤務表!T37)</f>
        <v/>
      </c>
      <c r="H33" s="824">
        <f>勤務表!A37</f>
        <v/>
      </c>
      <c r="I33" s="322">
        <f>勤務表!U37</f>
        <v/>
      </c>
      <c r="J33" s="322">
        <f>IFERROR(LEFT(I33,1),"")</f>
        <v/>
      </c>
      <c r="K33" s="313">
        <f>IF(Q33="","",IF(Q33-Q32=1,IFERROR(IF(Q34-Q33=1,"~",2),2),1))</f>
        <v/>
      </c>
      <c r="L33" s="313">
        <f>IF(K33="","",COUNTIF($K$4:K33,1))</f>
        <v/>
      </c>
      <c r="M33" s="313">
        <f>IF(K33="","",COUNTIF($K$4:K33,2))</f>
        <v/>
      </c>
      <c r="N33" s="826">
        <f>Q33</f>
        <v/>
      </c>
      <c r="O33" s="827">
        <f>K34</f>
        <v/>
      </c>
      <c r="P33" s="824">
        <f>IFERROR(VLOOKUP(1,$M$4:$N$17,2,FALSE),"")</f>
        <v/>
      </c>
      <c r="Q33" s="326">
        <f>IFERROR(VLOOKUP(R33,$F$4:$H$34,3,FALSE),"")</f>
        <v/>
      </c>
      <c r="R33" s="322" t="n">
        <v>30</v>
      </c>
      <c r="T33" s="322">
        <f>COUNTIF($U$4:U33,TRUE)</f>
        <v/>
      </c>
      <c r="U33" s="322">
        <f>IF(W33="","",IF(OR(W33="有給休暇",X33&lt;&gt;0),TRUE,FALSE))</f>
        <v/>
      </c>
      <c r="V33" s="824">
        <f>勤務表!A37</f>
        <v/>
      </c>
      <c r="W33" s="322">
        <f>勤務表!T37</f>
        <v/>
      </c>
      <c r="X33" s="322">
        <f>勤務表!J37</f>
        <v/>
      </c>
    </row>
    <row r="34">
      <c r="A34" s="322">
        <f>COUNTIF($G$4:$G34,"振替休暇（半日）")</f>
        <v/>
      </c>
      <c r="B34" s="322">
        <f>COUNTIF($G$4:$G34,"有給休暇（半日）")</f>
        <v/>
      </c>
      <c r="C34" s="322">
        <f>COUNTIF($G$4:$G34,"会社規定休")</f>
        <v/>
      </c>
      <c r="D34" s="322">
        <f>COUNTIF($G$4:$G34,"振替休暇")</f>
        <v/>
      </c>
      <c r="E34" s="322">
        <f>COUNTIF($G$4:$G34,"慶弔休暇")</f>
        <v/>
      </c>
      <c r="F34" s="322">
        <f>COUNTIF($G$4:$G34,"有給休暇")</f>
        <v/>
      </c>
      <c r="G34" s="322">
        <f>IF(勤務表!T38=0,"",勤務表!T38)</f>
        <v/>
      </c>
      <c r="H34" s="824">
        <f>勤務表!A38</f>
        <v/>
      </c>
      <c r="I34" s="322">
        <f>勤務表!U38</f>
        <v/>
      </c>
      <c r="J34" s="322">
        <f>IFERROR(LEFT(I34,1),"")</f>
        <v/>
      </c>
      <c r="K34" s="313">
        <f>IF(Q34="","",IF(Q34-Q33=1,IFERROR(IF(Q35-Q34=1,"~",2),2),1))</f>
        <v/>
      </c>
      <c r="L34" s="313">
        <f>IF(K34="","",COUNTIF($K$4:K34,1))</f>
        <v/>
      </c>
      <c r="M34" s="313">
        <f>IF(K34="","",COUNTIF($K$4:K34,2))</f>
        <v/>
      </c>
      <c r="N34" s="826">
        <f>Q34</f>
        <v/>
      </c>
      <c r="O34" s="827">
        <f>K35</f>
        <v/>
      </c>
      <c r="P34" s="824">
        <f>IFERROR(VLOOKUP(1,$M$4:$N$17,2,FALSE),"")</f>
        <v/>
      </c>
      <c r="Q34" s="326">
        <f>IFERROR(VLOOKUP(R34,$F$4:$H$34,3,FALSE),"")</f>
        <v/>
      </c>
      <c r="R34" s="322" t="n">
        <v>31</v>
      </c>
      <c r="T34" s="322">
        <f>COUNTIF($U$4:U34,TRUE)</f>
        <v/>
      </c>
      <c r="U34" s="322">
        <f>IF(W34="","",IF(OR(W34="有給休暇",X34&lt;&gt;0),TRUE,FALSE))</f>
        <v/>
      </c>
      <c r="V34" s="824">
        <f>勤務表!A38</f>
        <v/>
      </c>
      <c r="W34" s="322">
        <f>勤務表!T38</f>
        <v/>
      </c>
      <c r="X34" s="322">
        <f>勤務表!J38</f>
        <v/>
      </c>
    </row>
    <row r="35">
      <c r="S35" s="824" t="inlineStr">
        <is>
          <t>有給</t>
        </is>
      </c>
      <c r="T35" s="824" t="inlineStr">
        <is>
          <t>有給</t>
        </is>
      </c>
    </row>
    <row r="36">
      <c r="K36" s="322" t="inlineStr">
        <is>
          <t>■有給休暇（半日）</t>
        </is>
      </c>
      <c r="T36" s="824" t="n"/>
    </row>
    <row r="37">
      <c r="K37" s="122" t="inlineStr">
        <is>
          <t>No</t>
        </is>
      </c>
      <c r="L37" s="123" t="inlineStr">
        <is>
          <t>Start</t>
        </is>
      </c>
      <c r="M37" s="123" t="inlineStr">
        <is>
          <t>End</t>
        </is>
      </c>
      <c r="N37" s="123" t="n">
        <v>0</v>
      </c>
      <c r="O37" s="124" t="inlineStr">
        <is>
          <t>=No+1行</t>
        </is>
      </c>
      <c r="P37" s="123" t="inlineStr">
        <is>
          <t>End Day</t>
        </is>
      </c>
      <c r="Q37" s="322" t="n">
        <v>0</v>
      </c>
      <c r="T37" s="824" t="n"/>
    </row>
    <row r="38" ht="12.75" customHeight="1" s="643">
      <c r="K38" s="313">
        <f>IF(Q38="","",IF(Q38-Q37=1,IFERROR(IF(Q39-Q38=1,"~",2),2),1))</f>
        <v/>
      </c>
      <c r="L38" s="313">
        <f>IF(K38="","",COUNTIF($K$4:K38,1))</f>
        <v/>
      </c>
      <c r="M38" s="313">
        <f>IF(K38="","",COUNTIF($K$4:K38,2))</f>
        <v/>
      </c>
      <c r="N38" s="826">
        <f>Q38</f>
        <v/>
      </c>
      <c r="O38" s="827">
        <f>K39</f>
        <v/>
      </c>
      <c r="P38" s="824">
        <f>IFERROR(VLOOKUP(1,$M$4:$N$17,2,FALSE),"")</f>
        <v/>
      </c>
      <c r="Q38" s="326">
        <f>IFERROR(VLOOKUP(R38,$B$4:$H$34,7,FALSE),"")</f>
        <v/>
      </c>
      <c r="R38" s="322" t="n">
        <v>1</v>
      </c>
      <c r="T38" s="824" t="n"/>
    </row>
    <row r="39">
      <c r="N39" s="326">
        <f>Q39</f>
        <v/>
      </c>
      <c r="Q39" s="326">
        <f>IFERROR(VLOOKUP(R39,$B$4:$H$34,7,FALSE),"")</f>
        <v/>
      </c>
      <c r="R39" s="322" t="n">
        <v>2</v>
      </c>
    </row>
    <row r="40">
      <c r="N40" s="326">
        <f>Q40</f>
        <v/>
      </c>
      <c r="Q40" s="326">
        <f>IFERROR(VLOOKUP(R40,$B$4:$H$34,7,FALSE),"")</f>
        <v/>
      </c>
      <c r="R40" s="322" t="n">
        <v>3</v>
      </c>
      <c r="S40" s="327" t="inlineStr">
        <is>
          <t>振替休暇</t>
        </is>
      </c>
      <c r="T40" s="328" t="n">
        <v>0</v>
      </c>
      <c r="U40" s="329">
        <f>IFERROR(VLOOKUP($T40+1,$D$4:$I$34,5,FALSE),"")</f>
        <v/>
      </c>
      <c r="V40" s="330">
        <f>COUNTIF($U$40:U40,"&gt;0")</f>
        <v/>
      </c>
    </row>
    <row r="41">
      <c r="N41" s="326">
        <f>Q41</f>
        <v/>
      </c>
      <c r="Q41" s="326">
        <f>IFERROR(VLOOKUP(R41,$B$4:$H$34,7,FALSE),"")</f>
        <v/>
      </c>
      <c r="R41" s="322" t="n">
        <v>4</v>
      </c>
      <c r="S41" s="331" t="n"/>
      <c r="T41" s="322" t="n">
        <v>1</v>
      </c>
      <c r="U41" s="326">
        <f>IFERROR(VLOOKUP($T41+1,$D$4:$I$34,5,FALSE),"")</f>
        <v/>
      </c>
      <c r="V41" s="332">
        <f>COUNTIF($U$40:U41,"&gt;0")</f>
        <v/>
      </c>
    </row>
    <row r="42">
      <c r="N42" s="326">
        <f>Q42</f>
        <v/>
      </c>
      <c r="Q42" s="326">
        <f>IFERROR(VLOOKUP(R42,$B$4:$H$34,7,FALSE),"")</f>
        <v/>
      </c>
      <c r="R42" s="322" t="n">
        <v>5</v>
      </c>
      <c r="S42" s="331" t="n"/>
      <c r="T42" s="322" t="n">
        <v>2</v>
      </c>
      <c r="U42" s="326">
        <f>IFERROR(VLOOKUP($T42+1,$D$4:$I$34,5,FALSE),"")</f>
        <v/>
      </c>
      <c r="V42" s="332">
        <f>COUNTIF($U$40:U42,"&gt;0")</f>
        <v/>
      </c>
    </row>
    <row r="43">
      <c r="N43" s="326">
        <f>Q43</f>
        <v/>
      </c>
      <c r="Q43" s="326">
        <f>IFERROR(VLOOKUP(R43,$B$4:$H$34,7,FALSE),"")</f>
        <v/>
      </c>
      <c r="R43" s="322" t="n">
        <v>6</v>
      </c>
      <c r="S43" s="331" t="n"/>
      <c r="T43" s="322" t="n">
        <v>3</v>
      </c>
      <c r="U43" s="326">
        <f>IFERROR(VLOOKUP($T43+1,$D$4:$I$34,5,FALSE),"")</f>
        <v/>
      </c>
      <c r="V43" s="332">
        <f>COUNTIF($U$40:U43,"&gt;0")</f>
        <v/>
      </c>
    </row>
    <row r="44">
      <c r="N44" s="326">
        <f>Q44</f>
        <v/>
      </c>
      <c r="Q44" s="326">
        <f>IFERROR(VLOOKUP(R44,$B$4:$H$34,7,FALSE),"")</f>
        <v/>
      </c>
      <c r="R44" s="322" t="n">
        <v>7</v>
      </c>
      <c r="S44" s="331" t="n"/>
      <c r="T44" s="322" t="n">
        <v>4</v>
      </c>
      <c r="U44" s="326">
        <f>IFERROR(VLOOKUP($T44+1,$D$4:$I$34,5,FALSE),"")</f>
        <v/>
      </c>
      <c r="V44" s="332">
        <f>COUNTIF($U$40:U44,"&gt;0")</f>
        <v/>
      </c>
    </row>
    <row r="45">
      <c r="N45" s="326">
        <f>Q45</f>
        <v/>
      </c>
      <c r="Q45" s="326">
        <f>IFERROR(VLOOKUP(R45,$B$4:$H$34,7,FALSE),"")</f>
        <v/>
      </c>
      <c r="R45" s="322" t="n">
        <v>8</v>
      </c>
      <c r="S45" s="331" t="n"/>
      <c r="T45" s="322" t="n">
        <v>5</v>
      </c>
      <c r="U45" s="326">
        <f>IFERROR(VLOOKUP($T45+1,$D$4:$I$34,5,FALSE),"")</f>
        <v/>
      </c>
      <c r="V45" s="332">
        <f>COUNTIF($U$40:U45,"&gt;0")</f>
        <v/>
      </c>
    </row>
    <row r="46">
      <c r="N46" s="326">
        <f>Q46</f>
        <v/>
      </c>
      <c r="Q46" s="326">
        <f>IFERROR(VLOOKUP(R46,$B$4:$H$34,7,FALSE),"")</f>
        <v/>
      </c>
      <c r="R46" s="322" t="n">
        <v>9</v>
      </c>
      <c r="S46" s="331" t="n"/>
      <c r="T46" s="322" t="n">
        <v>6</v>
      </c>
      <c r="U46" s="326">
        <f>IFERROR(VLOOKUP($T46+1,$D$4:$I$34,5,FALSE),"")</f>
        <v/>
      </c>
      <c r="V46" s="332">
        <f>COUNTIF($U$40:U46,"&gt;0")</f>
        <v/>
      </c>
    </row>
    <row r="47">
      <c r="J47" s="120" t="n">
        <v>10</v>
      </c>
      <c r="N47" s="326">
        <f>Q47</f>
        <v/>
      </c>
      <c r="Q47" s="326">
        <f>IFERROR(VLOOKUP(R47,$B$4:$H$34,7,FALSE),"")</f>
        <v/>
      </c>
      <c r="R47" s="322" t="n">
        <v>10</v>
      </c>
      <c r="S47" s="331" t="n"/>
      <c r="T47" s="322" t="n">
        <v>7</v>
      </c>
      <c r="U47" s="326">
        <f>IFERROR(VLOOKUP($T47+1,$D$4:$I$34,5,FALSE),"")</f>
        <v/>
      </c>
      <c r="V47" s="332">
        <f>COUNTIF($U$40:U47,"&gt;0")</f>
        <v/>
      </c>
    </row>
    <row r="48">
      <c r="N48" s="326">
        <f>Q48</f>
        <v/>
      </c>
      <c r="Q48" s="326">
        <f>IFERROR(VLOOKUP(R48,$B$4:$H$34,7,FALSE),"")</f>
        <v/>
      </c>
      <c r="R48" s="322" t="n">
        <v>11</v>
      </c>
      <c r="S48" s="331" t="n"/>
      <c r="T48" s="322" t="n">
        <v>8</v>
      </c>
      <c r="U48" s="326">
        <f>IFERROR(VLOOKUP($T48+1,$D$4:$I$34,5,FALSE),"")</f>
        <v/>
      </c>
      <c r="V48" s="332">
        <f>COUNTIF($U$40:U48,"&gt;0")</f>
        <v/>
      </c>
    </row>
    <row r="49">
      <c r="N49" s="326">
        <f>Q49</f>
        <v/>
      </c>
      <c r="Q49" s="326">
        <f>IFERROR(VLOOKUP(R49,$B$4:$H$34,7,FALSE),"")</f>
        <v/>
      </c>
      <c r="R49" s="322" t="n">
        <v>12</v>
      </c>
      <c r="S49" s="331" t="n"/>
      <c r="T49" s="322" t="n">
        <v>9</v>
      </c>
      <c r="U49" s="326">
        <f>IFERROR(VLOOKUP($T49+1,$D$4:$I$34,5,FALSE),"")</f>
        <v/>
      </c>
      <c r="V49" s="332">
        <f>COUNTIF($U$40:U49,"&gt;0")</f>
        <v/>
      </c>
    </row>
    <row r="50">
      <c r="N50" s="326">
        <f>Q50</f>
        <v/>
      </c>
      <c r="Q50" s="326">
        <f>IFERROR(VLOOKUP(R50,$B$4:$H$34,7,FALSE),"")</f>
        <v/>
      </c>
      <c r="R50" s="322" t="n">
        <v>13</v>
      </c>
      <c r="S50" s="331" t="n"/>
      <c r="T50" s="322" t="n">
        <v>10</v>
      </c>
      <c r="U50" s="326">
        <f>IFERROR(VLOOKUP($T50+1,$D$4:$I$34,5,FALSE),"")</f>
        <v/>
      </c>
      <c r="V50" s="332">
        <f>COUNTIF($U$40:U50,"&gt;0")</f>
        <v/>
      </c>
    </row>
    <row r="51">
      <c r="N51" s="326">
        <f>Q51</f>
        <v/>
      </c>
      <c r="Q51" s="326">
        <f>IFERROR(VLOOKUP(R51,$B$4:$H$34,7,FALSE),"")</f>
        <v/>
      </c>
      <c r="R51" s="322" t="n">
        <v>14</v>
      </c>
      <c r="S51" s="331" t="n"/>
      <c r="T51" s="322" t="n">
        <v>11</v>
      </c>
      <c r="U51" s="326">
        <f>IFERROR(VLOOKUP($T51+1,$D$4:$I$34,5,FALSE),"")</f>
        <v/>
      </c>
      <c r="V51" s="332">
        <f>COUNTIF($U$40:U51,"&gt;0")</f>
        <v/>
      </c>
    </row>
    <row r="52">
      <c r="N52" s="326">
        <f>Q52</f>
        <v/>
      </c>
      <c r="Q52" s="326">
        <f>IFERROR(VLOOKUP(R52,$B$4:$H$34,7,FALSE),"")</f>
        <v/>
      </c>
      <c r="R52" s="322" t="n">
        <v>15</v>
      </c>
      <c r="S52" s="331" t="n"/>
      <c r="T52" s="322" t="n">
        <v>12</v>
      </c>
      <c r="U52" s="326">
        <f>IFERROR(VLOOKUP($T52+1,$D$4:$I$34,5,FALSE),"")</f>
        <v/>
      </c>
      <c r="V52" s="332">
        <f>COUNTIF($U$40:U52,"&gt;0")</f>
        <v/>
      </c>
    </row>
    <row r="53">
      <c r="J53" s="120" t="n">
        <v>3</v>
      </c>
      <c r="N53" s="326">
        <f>Q53</f>
        <v/>
      </c>
      <c r="Q53" s="326">
        <f>IFERROR(VLOOKUP(R53,$B$4:$H$34,7,FALSE),"")</f>
        <v/>
      </c>
      <c r="R53" s="322" t="n">
        <v>16</v>
      </c>
      <c r="S53" s="331" t="n"/>
      <c r="T53" s="322" t="n">
        <v>13</v>
      </c>
      <c r="U53" s="326">
        <f>IFERROR(VLOOKUP($T53+1,$D$4:$I$34,5,FALSE),"")</f>
        <v/>
      </c>
      <c r="V53" s="332">
        <f>COUNTIF($U$40:U53,"&gt;0")</f>
        <v/>
      </c>
    </row>
    <row r="54">
      <c r="N54" s="326">
        <f>Q54</f>
        <v/>
      </c>
      <c r="Q54" s="326">
        <f>IFERROR(VLOOKUP(R54,$B$4:$H$34,7,FALSE),"")</f>
        <v/>
      </c>
      <c r="R54" s="322" t="n">
        <v>17</v>
      </c>
      <c r="S54" s="331" t="n"/>
      <c r="T54" s="322" t="n">
        <v>14</v>
      </c>
      <c r="U54" s="326">
        <f>IFERROR(VLOOKUP($T54+1,$D$4:$I$34,5,FALSE),"")</f>
        <v/>
      </c>
      <c r="V54" s="332">
        <f>COUNTIF($U$40:U54,"&gt;0")</f>
        <v/>
      </c>
    </row>
    <row r="55">
      <c r="N55" s="326">
        <f>Q55</f>
        <v/>
      </c>
      <c r="Q55" s="326">
        <f>IFERROR(VLOOKUP(R55,$B$4:$H$34,7,FALSE),"")</f>
        <v/>
      </c>
      <c r="R55" s="322" t="n">
        <v>18</v>
      </c>
      <c r="S55" s="331" t="n"/>
      <c r="T55" s="322" t="n">
        <v>15</v>
      </c>
      <c r="U55" s="326">
        <f>IFERROR(VLOOKUP($T55+1,$D$4:$I$34,5,FALSE),"")</f>
        <v/>
      </c>
      <c r="V55" s="332">
        <f>COUNTIF($U$40:U55,"&gt;0")</f>
        <v/>
      </c>
    </row>
    <row r="56">
      <c r="N56" s="326">
        <f>Q56</f>
        <v/>
      </c>
      <c r="Q56" s="326">
        <f>IFERROR(VLOOKUP(R56,$B$4:$H$34,7,FALSE),"")</f>
        <v/>
      </c>
      <c r="R56" s="322" t="n">
        <v>19</v>
      </c>
      <c r="S56" s="331" t="n"/>
      <c r="T56" s="322" t="n">
        <v>16</v>
      </c>
      <c r="U56" s="326">
        <f>IFERROR(VLOOKUP($T56+1,$D$4:$I$34,5,FALSE),"")</f>
        <v/>
      </c>
      <c r="V56" s="332">
        <f>COUNTIF($U$40:U56,"&gt;0")</f>
        <v/>
      </c>
    </row>
    <row r="57">
      <c r="N57" s="326">
        <f>Q57</f>
        <v/>
      </c>
      <c r="Q57" s="326">
        <f>IFERROR(VLOOKUP(R57,$B$4:$H$34,7,FALSE),"")</f>
        <v/>
      </c>
      <c r="R57" s="322" t="n">
        <v>20</v>
      </c>
      <c r="S57" s="331" t="n"/>
      <c r="T57" s="322" t="n">
        <v>17</v>
      </c>
      <c r="U57" s="326">
        <f>IFERROR(VLOOKUP($T57+1,$D$4:$I$34,5,FALSE),"")</f>
        <v/>
      </c>
      <c r="V57" s="332">
        <f>COUNTIF($U$40:U57,"&gt;0")</f>
        <v/>
      </c>
    </row>
    <row r="58">
      <c r="N58" s="326">
        <f>Q58</f>
        <v/>
      </c>
      <c r="Q58" s="326">
        <f>IFERROR(VLOOKUP(R58,$B$4:$H$34,7,FALSE),"")</f>
        <v/>
      </c>
      <c r="R58" s="322" t="n">
        <v>21</v>
      </c>
      <c r="S58" s="331" t="n"/>
      <c r="T58" s="322" t="n">
        <v>18</v>
      </c>
      <c r="U58" s="326">
        <f>IFERROR(VLOOKUP($T58+1,$D$4:$I$34,5,FALSE),"")</f>
        <v/>
      </c>
      <c r="V58" s="332">
        <f>COUNTIF($U$40:U58,"&gt;0")</f>
        <v/>
      </c>
    </row>
    <row r="59">
      <c r="N59" s="326">
        <f>Q59</f>
        <v/>
      </c>
      <c r="Q59" s="326">
        <f>IFERROR(VLOOKUP(R59,$B$4:$H$34,7,FALSE),"")</f>
        <v/>
      </c>
      <c r="R59" s="322" t="n">
        <v>22</v>
      </c>
      <c r="S59" s="331" t="n"/>
      <c r="T59" s="322" t="n">
        <v>19</v>
      </c>
      <c r="U59" s="326">
        <f>IFERROR(VLOOKUP($T59+1,$D$4:$I$34,5,FALSE),"")</f>
        <v/>
      </c>
      <c r="V59" s="332">
        <f>COUNTIF($U$40:U59,"&gt;0")</f>
        <v/>
      </c>
    </row>
    <row r="60">
      <c r="N60" s="326">
        <f>Q60</f>
        <v/>
      </c>
      <c r="Q60" s="326">
        <f>IFERROR(VLOOKUP(R60,$B$4:$H$34,7,FALSE),"")</f>
        <v/>
      </c>
      <c r="R60" s="322" t="n">
        <v>23</v>
      </c>
      <c r="S60" s="331" t="n"/>
      <c r="T60" s="322" t="n">
        <v>20</v>
      </c>
      <c r="U60" s="326">
        <f>IFERROR(VLOOKUP($T60+1,$D$4:$I$34,5,FALSE),"")</f>
        <v/>
      </c>
      <c r="V60" s="332">
        <f>COUNTIF($U$40:U60,"&gt;0")</f>
        <v/>
      </c>
    </row>
    <row r="61">
      <c r="N61" s="326">
        <f>Q61</f>
        <v/>
      </c>
      <c r="Q61" s="326">
        <f>IFERROR(VLOOKUP(R61,$B$4:$H$34,7,FALSE),"")</f>
        <v/>
      </c>
      <c r="R61" s="322" t="n">
        <v>24</v>
      </c>
      <c r="S61" s="331" t="n"/>
      <c r="T61" s="322" t="n">
        <v>21</v>
      </c>
      <c r="U61" s="326">
        <f>IFERROR(VLOOKUP($T61+1,$D$4:$I$34,5,FALSE),"")</f>
        <v/>
      </c>
      <c r="V61" s="332">
        <f>COUNTIF($U$40:U61,"&gt;0")</f>
        <v/>
      </c>
    </row>
    <row r="62">
      <c r="N62" s="326">
        <f>Q62</f>
        <v/>
      </c>
      <c r="Q62" s="326">
        <f>IFERROR(VLOOKUP(R62,$B$4:$H$34,7,FALSE),"")</f>
        <v/>
      </c>
      <c r="R62" s="322" t="n">
        <v>25</v>
      </c>
      <c r="S62" s="331" t="n"/>
      <c r="T62" s="322" t="n">
        <v>22</v>
      </c>
      <c r="U62" s="326">
        <f>IFERROR(VLOOKUP($T62+1,$D$4:$I$34,5,FALSE),"")</f>
        <v/>
      </c>
      <c r="V62" s="332">
        <f>COUNTIF($U$40:U62,"&gt;0")</f>
        <v/>
      </c>
    </row>
    <row r="63">
      <c r="N63" s="326">
        <f>Q63</f>
        <v/>
      </c>
      <c r="Q63" s="326">
        <f>IFERROR(VLOOKUP(R63,$B$4:$H$34,7,FALSE),"")</f>
        <v/>
      </c>
      <c r="R63" s="322" t="n">
        <v>26</v>
      </c>
      <c r="S63" s="331" t="n"/>
      <c r="T63" s="323" t="n">
        <v>23</v>
      </c>
      <c r="U63" s="334">
        <f>IFERROR(VLOOKUP($T63+1,$D$4:$I$34,5,FALSE),"")</f>
        <v/>
      </c>
      <c r="V63" s="332">
        <f>COUNTIF($U$40:U63,"&gt;0")</f>
        <v/>
      </c>
    </row>
    <row r="64">
      <c r="N64" s="326">
        <f>Q64</f>
        <v/>
      </c>
      <c r="Q64" s="326">
        <f>IFERROR(VLOOKUP(R64,$B$4:$H$34,7,FALSE),"")</f>
        <v/>
      </c>
      <c r="R64" s="322" t="n">
        <v>27</v>
      </c>
      <c r="S64" s="331" t="inlineStr">
        <is>
          <t>半振替</t>
        </is>
      </c>
      <c r="T64" s="322" t="n">
        <v>0</v>
      </c>
      <c r="U64" s="326">
        <f>IFERROR(VLOOKUP($T64+1,$A$4:$I$34,8,FALSE),"")</f>
        <v/>
      </c>
      <c r="V64" s="332">
        <f>COUNTIF($U$40:U64,"&gt;0")</f>
        <v/>
      </c>
    </row>
    <row r="65">
      <c r="N65" s="326">
        <f>Q65</f>
        <v/>
      </c>
      <c r="Q65" s="326">
        <f>IFERROR(VLOOKUP(R65,$B$4:$H$34,7,FALSE),"")</f>
        <v/>
      </c>
      <c r="R65" s="322" t="n">
        <v>28</v>
      </c>
      <c r="S65" s="331" t="n"/>
      <c r="T65" s="322" t="n">
        <v>1</v>
      </c>
      <c r="U65" s="326">
        <f>IFERROR(VLOOKUP($T65+1,$A$4:$I$34,8,FALSE),"")</f>
        <v/>
      </c>
      <c r="V65" s="332">
        <f>COUNTIF($U$40:U65,"&gt;0")</f>
        <v/>
      </c>
    </row>
    <row r="66">
      <c r="N66" s="326">
        <f>Q66</f>
        <v/>
      </c>
      <c r="Q66" s="326">
        <f>IFERROR(VLOOKUP(R66,$B$4:$H$34,7,FALSE),"")</f>
        <v/>
      </c>
      <c r="R66" s="322" t="n">
        <v>29</v>
      </c>
      <c r="S66" s="331" t="n"/>
      <c r="T66" s="322" t="n">
        <v>2</v>
      </c>
      <c r="U66" s="326">
        <f>IFERROR(VLOOKUP($T66+1,$A$4:$I$34,8,FALSE),"")</f>
        <v/>
      </c>
      <c r="V66" s="332">
        <f>COUNTIF($U$40:U66,"&gt;0")</f>
        <v/>
      </c>
    </row>
    <row r="67">
      <c r="N67" s="326">
        <f>Q67</f>
        <v/>
      </c>
      <c r="Q67" s="326">
        <f>IFERROR(VLOOKUP(R67,$B$4:$H$34,7,FALSE),"")</f>
        <v/>
      </c>
      <c r="R67" s="322" t="n">
        <v>30</v>
      </c>
      <c r="S67" s="331" t="n"/>
      <c r="T67" s="322" t="n">
        <v>3</v>
      </c>
      <c r="U67" s="326">
        <f>IFERROR(VLOOKUP($T67+1,$A$4:$I$34,8,FALSE),"")</f>
        <v/>
      </c>
      <c r="V67" s="332">
        <f>COUNTIF($U$40:U67,"&gt;0")</f>
        <v/>
      </c>
    </row>
    <row r="68">
      <c r="N68" s="326">
        <f>Q68</f>
        <v/>
      </c>
      <c r="Q68" s="326">
        <f>IFERROR(VLOOKUP(R68,$B$4:$H$34,7,FALSE),"")</f>
        <v/>
      </c>
      <c r="R68" s="322" t="n">
        <v>31</v>
      </c>
      <c r="S68" s="331" t="n"/>
      <c r="T68" s="322" t="n">
        <v>4</v>
      </c>
      <c r="U68" s="326">
        <f>IFERROR(VLOOKUP($T68+1,$A$4:$I$34,8,FALSE),"")</f>
        <v/>
      </c>
      <c r="V68" s="332">
        <f>COUNTIF($U$40:U68,"&gt;0")</f>
        <v/>
      </c>
    </row>
    <row r="69">
      <c r="S69" s="331" t="n"/>
      <c r="T69" s="322" t="n">
        <v>5</v>
      </c>
      <c r="U69" s="326">
        <f>IFERROR(VLOOKUP($T69+1,$A$4:$I$34,8,FALSE),"")</f>
        <v/>
      </c>
      <c r="V69" s="332">
        <f>COUNTIF($U$40:U69,"&gt;0")</f>
        <v/>
      </c>
    </row>
    <row r="70">
      <c r="K70" s="322" t="inlineStr">
        <is>
          <t>■慶弔休暇</t>
        </is>
      </c>
      <c r="S70" s="331" t="n"/>
      <c r="T70" s="322" t="n">
        <v>6</v>
      </c>
      <c r="U70" s="326">
        <f>IFERROR(VLOOKUP($T70+1,$A$4:$I$34,8,FALSE),"")</f>
        <v/>
      </c>
      <c r="V70" s="332">
        <f>COUNTIF($U$40:U70,"&gt;0")</f>
        <v/>
      </c>
    </row>
    <row r="71">
      <c r="K71" s="122" t="inlineStr">
        <is>
          <t>No</t>
        </is>
      </c>
      <c r="L71" s="123" t="inlineStr">
        <is>
          <t>Start</t>
        </is>
      </c>
      <c r="M71" s="123" t="inlineStr">
        <is>
          <t>End</t>
        </is>
      </c>
      <c r="N71" s="123" t="n">
        <v>0</v>
      </c>
      <c r="O71" s="124" t="inlineStr">
        <is>
          <t>=No+1行</t>
        </is>
      </c>
      <c r="P71" s="123" t="inlineStr">
        <is>
          <t>End Day</t>
        </is>
      </c>
      <c r="Q71" s="322" t="n">
        <v>0</v>
      </c>
      <c r="S71" s="331" t="n"/>
      <c r="T71" s="322" t="n">
        <v>7</v>
      </c>
      <c r="U71" s="326">
        <f>IFERROR(VLOOKUP($T71+1,$A$4:$I$34,8,FALSE),"")</f>
        <v/>
      </c>
      <c r="V71" s="332">
        <f>COUNTIF($U$40:U71,"&gt;0")</f>
        <v/>
      </c>
    </row>
    <row r="72">
      <c r="K72" s="313">
        <f>IF(Q72="","",IF(Q72-Q71=1,IFERROR(IF(Q73-Q72=1,"~",2),2),1))</f>
        <v/>
      </c>
      <c r="L72" s="313">
        <f>IF(K72="","",COUNTIF($K$4:K72,1))</f>
        <v/>
      </c>
      <c r="M72" s="313">
        <f>IF(K72="","",COUNTIF($K$4:K72,2))</f>
        <v/>
      </c>
      <c r="N72" s="826">
        <f>Q72</f>
        <v/>
      </c>
      <c r="O72" s="827">
        <f>K73</f>
        <v/>
      </c>
      <c r="P72" s="824">
        <f>IFERROR(VLOOKUP(1,$M$4:$N$17,2,FALSE),"")</f>
        <v/>
      </c>
      <c r="Q72" s="326">
        <f>IFERROR(VLOOKUP(R72,$E$4:$H$34,4,FALSE),"")</f>
        <v/>
      </c>
      <c r="R72" s="322" t="n">
        <v>1</v>
      </c>
      <c r="S72" s="331" t="n"/>
      <c r="T72" s="322" t="n">
        <v>8</v>
      </c>
      <c r="U72" s="326">
        <f>IFERROR(VLOOKUP($T72+1,$A$4:$I$34,8,FALSE),"")</f>
        <v/>
      </c>
      <c r="V72" s="332">
        <f>COUNTIF($U$40:U72,"&gt;0")</f>
        <v/>
      </c>
    </row>
    <row r="73">
      <c r="K73" s="313">
        <f>IF(Q73="","",IF(Q73-Q72=1,IFERROR(IF(Q74-Q73=1,"~",2),2),1))</f>
        <v/>
      </c>
      <c r="L73" s="313">
        <f>IF(K73="","",COUNTIF($K$72:K73,1))</f>
        <v/>
      </c>
      <c r="M73" s="313">
        <f>IF(K73="","",COUNTIF($K$72:K73,2))</f>
        <v/>
      </c>
      <c r="N73" s="826">
        <f>Q73</f>
        <v/>
      </c>
      <c r="O73" s="827">
        <f>K74</f>
        <v/>
      </c>
      <c r="P73" s="824">
        <f>IFERROR(VLOOKUP(2,$M$72:$N$78,2,FALSE),"")</f>
        <v/>
      </c>
      <c r="Q73" s="326">
        <f>IFERROR(VLOOKUP(R73,$E$4:$H$34,4,FALSE),"")</f>
        <v/>
      </c>
      <c r="R73" s="322" t="n">
        <v>2</v>
      </c>
      <c r="S73" s="331" t="n"/>
      <c r="T73" s="322" t="n">
        <v>9</v>
      </c>
      <c r="U73" s="326">
        <f>IFERROR(VLOOKUP($T73+1,$A$4:$I$34,8,FALSE),"")</f>
        <v/>
      </c>
      <c r="V73" s="332">
        <f>COUNTIF($U$40:U73,"&gt;0")</f>
        <v/>
      </c>
    </row>
    <row r="74">
      <c r="K74" s="313">
        <f>IF(Q74="","",IF(Q74-Q73=1,IFERROR(IF(Q75-Q74=1,"~",2),2),1))</f>
        <v/>
      </c>
      <c r="L74" s="313">
        <f>IF(K74="","",COUNTIF($K$72:K74,1))</f>
        <v/>
      </c>
      <c r="M74" s="313">
        <f>IF(K74="","",COUNTIF($K$72:K74,2))</f>
        <v/>
      </c>
      <c r="N74" s="826">
        <f>Q74</f>
        <v/>
      </c>
      <c r="O74" s="827">
        <f>K75</f>
        <v/>
      </c>
      <c r="P74" s="824">
        <f>IFERROR(VLOOKUP(3,$M$72:$N$78,2,FALSE),"")</f>
        <v/>
      </c>
      <c r="Q74" s="326">
        <f>IFERROR(VLOOKUP(R74,$E$4:$H$34,4,FALSE),"")</f>
        <v/>
      </c>
      <c r="R74" s="322" t="n">
        <v>3</v>
      </c>
      <c r="S74" s="331" t="n"/>
      <c r="T74" s="322" t="n">
        <v>10</v>
      </c>
      <c r="U74" s="326">
        <f>IFERROR(VLOOKUP($T74+1,$A$4:$I$34,8,FALSE),"")</f>
        <v/>
      </c>
      <c r="V74" s="332">
        <f>COUNTIF($U$40:U74,"&gt;0")</f>
        <v/>
      </c>
    </row>
    <row r="75">
      <c r="K75" s="313">
        <f>IF(Q75="","",IF(Q75-Q74=1,IFERROR(IF(Q76-Q75=1,"~",2),2),1))</f>
        <v/>
      </c>
      <c r="L75" s="313">
        <f>IF(K75="","",COUNTIF($K$72:K75,1))</f>
        <v/>
      </c>
      <c r="M75" s="313">
        <f>IF(K75="","",COUNTIF($K$72:K75,2))</f>
        <v/>
      </c>
      <c r="N75" s="826">
        <f>Q75</f>
        <v/>
      </c>
      <c r="O75" s="827">
        <f>K76</f>
        <v/>
      </c>
      <c r="P75" s="824">
        <f>IFERROR(VLOOKUP(4,$M$72:$N$78,2,FALSE),"")</f>
        <v/>
      </c>
      <c r="Q75" s="326">
        <f>IFERROR(VLOOKUP(R75,$E$4:$H$34,4,FALSE),"")</f>
        <v/>
      </c>
      <c r="R75" s="322" t="n">
        <v>4</v>
      </c>
      <c r="S75" s="331" t="n"/>
      <c r="T75" s="322" t="n">
        <v>11</v>
      </c>
      <c r="U75" s="326">
        <f>IFERROR(VLOOKUP($T75+1,$A$4:$I$34,8,FALSE),"")</f>
        <v/>
      </c>
      <c r="V75" s="332">
        <f>COUNTIF($U$40:U75,"&gt;0")</f>
        <v/>
      </c>
    </row>
    <row r="76">
      <c r="K76" s="313">
        <f>IF(Q76="","",IF(Q76-Q75=1,IFERROR(IF(Q77-Q76=1,"~",2),2),1))</f>
        <v/>
      </c>
      <c r="L76" s="313">
        <f>IF(K76="","",COUNTIF($K$72:K76,1))</f>
        <v/>
      </c>
      <c r="M76" s="313">
        <f>IF(K76="","",COUNTIF($K$72:K76,2))</f>
        <v/>
      </c>
      <c r="N76" s="826">
        <f>Q76</f>
        <v/>
      </c>
      <c r="O76" s="827">
        <f>K77</f>
        <v/>
      </c>
      <c r="P76" s="824">
        <f>IFERROR(VLOOKUP(5,$M$72:$N$78,2,FALSE),"")</f>
        <v/>
      </c>
      <c r="Q76" s="326">
        <f>IFERROR(VLOOKUP(R76,$E$4:$H$34,4,FALSE),"")</f>
        <v/>
      </c>
      <c r="R76" s="322" t="n">
        <v>5</v>
      </c>
      <c r="S76" s="331" t="n"/>
      <c r="T76" s="322" t="n">
        <v>12</v>
      </c>
      <c r="U76" s="326">
        <f>IFERROR(VLOOKUP($T76+1,$A$4:$I$34,8,FALSE),"")</f>
        <v/>
      </c>
      <c r="V76" s="332">
        <f>COUNTIF($U$40:U76,"&gt;0")</f>
        <v/>
      </c>
    </row>
    <row r="77">
      <c r="K77" s="313">
        <f>IF(Q77="","",IF(Q77-Q76=1,IFERROR(IF(Q78-Q77=1,"~",2),2),1))</f>
        <v/>
      </c>
      <c r="L77" s="313">
        <f>IF(K77="","",COUNTIF($K$72:K77,1))</f>
        <v/>
      </c>
      <c r="M77" s="313">
        <f>IF(K77="","",COUNTIF($K$72:K77,2))</f>
        <v/>
      </c>
      <c r="N77" s="826">
        <f>Q77</f>
        <v/>
      </c>
      <c r="O77" s="827">
        <f>K78</f>
        <v/>
      </c>
      <c r="P77" s="824">
        <f>IFERROR(VLOOKUP(6,$M$72:$N$78,2,FALSE),"")</f>
        <v/>
      </c>
      <c r="Q77" s="326">
        <f>IFERROR(VLOOKUP(R77,$E$4:$H$34,4,FALSE),"")</f>
        <v/>
      </c>
      <c r="R77" s="322" t="n">
        <v>6</v>
      </c>
      <c r="S77" s="331" t="n"/>
      <c r="T77" s="322" t="n">
        <v>13</v>
      </c>
      <c r="U77" s="326">
        <f>IFERROR(VLOOKUP($T77+1,$A$4:$I$34,8,FALSE),"")</f>
        <v/>
      </c>
      <c r="V77" s="332">
        <f>COUNTIF($U$40:U77,"&gt;0")</f>
        <v/>
      </c>
    </row>
    <row r="78">
      <c r="K78" s="129">
        <f>IF(Q78="","",IF(Q78-Q77=1,IFERROR(IF(#REF!-Q78=1,"~",2),2),1))</f>
        <v/>
      </c>
      <c r="L78" s="129">
        <f>IF(K78="","",COUNTIF($K$72:K78,1))</f>
        <v/>
      </c>
      <c r="M78" s="129">
        <f>IF(K78="","",COUNTIF($K$72:K78,2))</f>
        <v/>
      </c>
      <c r="N78" s="828">
        <f>Q78</f>
        <v/>
      </c>
      <c r="O78" s="829" t="n"/>
      <c r="P78" s="825" t="n"/>
      <c r="Q78" s="125">
        <f>IFERROR(VLOOKUP(R78,$E$4:$H$34,4,FALSE),"")</f>
        <v/>
      </c>
      <c r="R78" s="322" t="n">
        <v>7</v>
      </c>
      <c r="S78" s="331" t="n"/>
      <c r="T78" s="322" t="n">
        <v>14</v>
      </c>
      <c r="U78" s="326">
        <f>IFERROR(VLOOKUP($T78+1,$A$4:$I$34,8,FALSE),"")</f>
        <v/>
      </c>
      <c r="V78" s="332">
        <f>COUNTIF($U$40:U78,"&gt;0")</f>
        <v/>
      </c>
    </row>
    <row r="79">
      <c r="K79" s="322" t="inlineStr">
        <is>
          <t>■振替休暇</t>
        </is>
      </c>
      <c r="S79" s="331" t="n"/>
      <c r="T79" s="322" t="n">
        <v>15</v>
      </c>
      <c r="U79" s="326">
        <f>IFERROR(VLOOKUP($T79+1,$A$4:$I$34,8,FALSE),"")</f>
        <v/>
      </c>
      <c r="V79" s="332">
        <f>COUNTIF($U$40:U79,"&gt;0")</f>
        <v/>
      </c>
    </row>
    <row r="80">
      <c r="K80" s="122" t="inlineStr">
        <is>
          <t>No</t>
        </is>
      </c>
      <c r="L80" s="123" t="inlineStr">
        <is>
          <t>Start</t>
        </is>
      </c>
      <c r="M80" s="123" t="inlineStr">
        <is>
          <t>End</t>
        </is>
      </c>
      <c r="N80" s="123" t="n">
        <v>0</v>
      </c>
      <c r="O80" s="124" t="inlineStr">
        <is>
          <t>=No+1行</t>
        </is>
      </c>
      <c r="P80" s="123" t="inlineStr">
        <is>
          <t>End Day</t>
        </is>
      </c>
      <c r="Q80" s="322" t="n">
        <v>0</v>
      </c>
      <c r="S80" s="331" t="n"/>
      <c r="T80" s="322" t="n">
        <v>16</v>
      </c>
      <c r="U80" s="326">
        <f>IFERROR(VLOOKUP($T80+1,$A$4:$I$34,8,FALSE),"")</f>
        <v/>
      </c>
      <c r="V80" s="332">
        <f>COUNTIF($U$40:U80,"&gt;0")</f>
        <v/>
      </c>
    </row>
    <row r="81">
      <c r="K81" s="313">
        <f>IF(Q81="","",IF(Q81-Q80=1,IFERROR(IF(Q82-Q81=1,"~",2),2),1))</f>
        <v/>
      </c>
      <c r="L81" s="313">
        <f>IF(K81="","",COUNTIF($K$4:K81,1))</f>
        <v/>
      </c>
      <c r="M81" s="313">
        <f>IF(K81="","",COUNTIF($K$4:K81,2))</f>
        <v/>
      </c>
      <c r="N81" s="826">
        <f>Q81</f>
        <v/>
      </c>
      <c r="O81" s="827">
        <f>K82</f>
        <v/>
      </c>
      <c r="P81" s="824">
        <f>IFERROR(VLOOKUP(1,$M$4:$N$17,2,FALSE),"")</f>
        <v/>
      </c>
      <c r="Q81" s="326">
        <f>IFERROR(VLOOKUP(R81,$D$4:$H$34,5,FALSE),"")</f>
        <v/>
      </c>
      <c r="R81" s="322" t="n">
        <v>1</v>
      </c>
      <c r="S81" s="331" t="n"/>
      <c r="T81" s="322" t="n">
        <v>17</v>
      </c>
      <c r="U81" s="326">
        <f>IFERROR(VLOOKUP($T81+1,$A$4:$I$34,8,FALSE),"")</f>
        <v/>
      </c>
      <c r="V81" s="332">
        <f>COUNTIF($U$40:U81,"&gt;0")</f>
        <v/>
      </c>
    </row>
    <row r="82">
      <c r="K82" s="313">
        <f>IF(Q82="","",IF(Q82-Q81=1,IFERROR(IF(Q83-Q82=1,"~",2),2),1))</f>
        <v/>
      </c>
      <c r="L82" s="313">
        <f>IF(K82="","",COUNTIF($K$81:K82,1))</f>
        <v/>
      </c>
      <c r="M82" s="313">
        <f>IF(K82="","",COUNTIF($K$81:K82,2))</f>
        <v/>
      </c>
      <c r="N82" s="826">
        <f>Q82</f>
        <v/>
      </c>
      <c r="O82" s="827">
        <f>K83</f>
        <v/>
      </c>
      <c r="P82" s="824">
        <f>IFERROR(VLOOKUP(1,$M$81:$N$90,2,FALSE),"")</f>
        <v/>
      </c>
      <c r="Q82" s="326">
        <f>IFERROR(VLOOKUP(R82,$D$4:$H$34,5,FALSE),"")</f>
        <v/>
      </c>
      <c r="R82" s="322" t="n">
        <v>2</v>
      </c>
      <c r="S82" s="331" t="n"/>
      <c r="T82" s="322" t="n">
        <v>18</v>
      </c>
      <c r="U82" s="326">
        <f>IFERROR(VLOOKUP($T82+1,$A$4:$I$34,8,FALSE),"")</f>
        <v/>
      </c>
      <c r="V82" s="332">
        <f>COUNTIF($U$40:U82,"&gt;0")</f>
        <v/>
      </c>
    </row>
    <row r="83">
      <c r="K83" s="313">
        <f>IF(Q83="","",IF(Q83-Q82=1,IFERROR(IF(Q84-Q83=1,"~",2),2),1))</f>
        <v/>
      </c>
      <c r="L83" s="313">
        <f>IF(K83="","",COUNTIF($K$81:K83,1))</f>
        <v/>
      </c>
      <c r="M83" s="313">
        <f>IF(K83="","",COUNTIF($K$81:K83,2))</f>
        <v/>
      </c>
      <c r="N83" s="826">
        <f>Q83</f>
        <v/>
      </c>
      <c r="O83" s="827">
        <f>K84</f>
        <v/>
      </c>
      <c r="P83" s="824">
        <f>IFERROR(VLOOKUP(1,$M$81:$N$90,2,FALSE),"")</f>
        <v/>
      </c>
      <c r="Q83" s="326">
        <f>IFERROR(VLOOKUP(R83,$D$4:$H$34,5,FALSE),"")</f>
        <v/>
      </c>
      <c r="R83" s="322" t="n">
        <v>3</v>
      </c>
      <c r="S83" s="331" t="n"/>
      <c r="T83" s="322" t="n">
        <v>19</v>
      </c>
      <c r="U83" s="326">
        <f>IFERROR(VLOOKUP($T83+1,$A$4:$I$34,8,FALSE),"")</f>
        <v/>
      </c>
      <c r="V83" s="332">
        <f>COUNTIF($U$40:U83,"&gt;0")</f>
        <v/>
      </c>
    </row>
    <row r="84">
      <c r="K84" s="313">
        <f>IF(Q84="","",IF(Q84-Q83=1,IFERROR(IF(Q85-Q84=1,"~",2),2),1))</f>
        <v/>
      </c>
      <c r="L84" s="313">
        <f>IF(K84="","",COUNTIF($K$81:K84,1))</f>
        <v/>
      </c>
      <c r="M84" s="313">
        <f>IF(K84="","",COUNTIF($K$81:K84,2))</f>
        <v/>
      </c>
      <c r="N84" s="826">
        <f>Q84</f>
        <v/>
      </c>
      <c r="O84" s="827">
        <f>K85</f>
        <v/>
      </c>
      <c r="P84" s="824">
        <f>IFERROR(VLOOKUP(1,$M$81:$N$90,2,FALSE),"")</f>
        <v/>
      </c>
      <c r="Q84" s="326">
        <f>IFERROR(VLOOKUP(R84,$D$4:$H$34,5,FALSE),"")</f>
        <v/>
      </c>
      <c r="R84" s="322" t="n">
        <v>4</v>
      </c>
      <c r="S84" s="331" t="n"/>
      <c r="T84" s="322" t="n">
        <v>20</v>
      </c>
      <c r="U84" s="326">
        <f>IFERROR(VLOOKUP($T84+1,$A$4:$I$34,8,FALSE),"")</f>
        <v/>
      </c>
      <c r="V84" s="332">
        <f>COUNTIF($U$40:U84,"&gt;0")</f>
        <v/>
      </c>
    </row>
    <row r="85">
      <c r="K85" s="313">
        <f>IF(Q85="","",IF(Q85-Q84=1,IFERROR(IF(Q86-Q85=1,"~",2),2),1))</f>
        <v/>
      </c>
      <c r="L85" s="313">
        <f>IF(K85="","",COUNTIF($K$81:K85,1))</f>
        <v/>
      </c>
      <c r="M85" s="313">
        <f>IF(K85="","",COUNTIF($K$81:K85,2))</f>
        <v/>
      </c>
      <c r="N85" s="826">
        <f>Q85</f>
        <v/>
      </c>
      <c r="O85" s="827">
        <f>K86</f>
        <v/>
      </c>
      <c r="P85" s="824">
        <f>IFERROR(VLOOKUP(1,$M$81:$N$90,2,FALSE),"")</f>
        <v/>
      </c>
      <c r="Q85" s="326">
        <f>IFERROR(VLOOKUP(R85,$D$4:$H$34,5,FALSE),"")</f>
        <v/>
      </c>
      <c r="R85" s="322" t="n">
        <v>5</v>
      </c>
      <c r="S85" s="331" t="n"/>
      <c r="T85" s="322" t="n">
        <v>21</v>
      </c>
      <c r="U85" s="326">
        <f>IFERROR(VLOOKUP($T85+1,$A$4:$I$34,8,FALSE),"")</f>
        <v/>
      </c>
      <c r="V85" s="332">
        <f>COUNTIF($U$40:U85,"&gt;0")</f>
        <v/>
      </c>
    </row>
    <row r="86">
      <c r="K86" s="313">
        <f>IF(Q86="","",IF(Q86-Q85=1,IFERROR(IF(Q87-Q86=1,"~",2),2),1))</f>
        <v/>
      </c>
      <c r="L86" s="313">
        <f>IF(K86="","",COUNTIF($K$81:K86,1))</f>
        <v/>
      </c>
      <c r="M86" s="313">
        <f>IF(K86="","",COUNTIF($K$81:K86,2))</f>
        <v/>
      </c>
      <c r="N86" s="826">
        <f>Q86</f>
        <v/>
      </c>
      <c r="O86" s="827">
        <f>K87</f>
        <v/>
      </c>
      <c r="P86" s="824">
        <f>IFERROR(VLOOKUP(1,$M$81:$N$90,2,FALSE),"")</f>
        <v/>
      </c>
      <c r="Q86" s="326">
        <f>IFERROR(VLOOKUP(R86,$D$4:$H$34,5,FALSE),"")</f>
        <v/>
      </c>
      <c r="R86" s="322" t="n">
        <v>6</v>
      </c>
      <c r="S86" s="331" t="n"/>
      <c r="T86" s="322" t="n">
        <v>22</v>
      </c>
      <c r="U86" s="326">
        <f>IFERROR(VLOOKUP($T86+1,$A$4:$I$34,8,FALSE),"")</f>
        <v/>
      </c>
      <c r="V86" s="332">
        <f>COUNTIF($U$40:U86,"&gt;0")</f>
        <v/>
      </c>
    </row>
    <row r="87">
      <c r="K87" s="313">
        <f>IF(Q87="","",IF(Q87-Q86=1,IFERROR(IF(Q88-Q87=1,"~",2),2),1))</f>
        <v/>
      </c>
      <c r="L87" s="313">
        <f>IF(K87="","",COUNTIF($K$81:K87,1))</f>
        <v/>
      </c>
      <c r="M87" s="313">
        <f>IF(K87="","",COUNTIF($K$81:K87,2))</f>
        <v/>
      </c>
      <c r="N87" s="826">
        <f>Q87</f>
        <v/>
      </c>
      <c r="O87" s="827">
        <f>K88</f>
        <v/>
      </c>
      <c r="P87" s="824">
        <f>IFERROR(VLOOKUP(1,$M$81:$N$90,2,FALSE),"")</f>
        <v/>
      </c>
      <c r="Q87" s="326">
        <f>IFERROR(VLOOKUP(R87,$D$4:$H$34,5,FALSE),"")</f>
        <v/>
      </c>
      <c r="R87" s="322" t="n">
        <v>7</v>
      </c>
      <c r="S87" s="333" t="n"/>
      <c r="T87" s="323" t="n">
        <v>23</v>
      </c>
      <c r="U87" s="334">
        <f>IFERROR(VLOOKUP($T87+1,$A$4:$I$34,8,FALSE),"")</f>
        <v/>
      </c>
      <c r="V87" s="335">
        <f>COUNTIF($U$40:U87,"&gt;0")</f>
        <v/>
      </c>
    </row>
    <row r="88">
      <c r="K88" s="313">
        <f>IF(Q88="","",IF(Q88-Q87=1,IFERROR(IF(Q89-Q88=1,"~",2),2),1))</f>
        <v/>
      </c>
      <c r="L88" s="313">
        <f>IF(K88="","",COUNTIF($K$81:K88,1))</f>
        <v/>
      </c>
      <c r="M88" s="313">
        <f>IF(K88="","",COUNTIF($K$81:K88,2))</f>
        <v/>
      </c>
      <c r="N88" s="826">
        <f>Q88</f>
        <v/>
      </c>
      <c r="O88" s="827">
        <f>K89</f>
        <v/>
      </c>
      <c r="P88" s="824">
        <f>IFERROR(VLOOKUP(1,$M$81:$N$90,2,FALSE),"")</f>
        <v/>
      </c>
      <c r="Q88" s="326">
        <f>IFERROR(VLOOKUP(R88,$D$4:$H$34,5,FALSE),"")</f>
        <v/>
      </c>
      <c r="R88" s="322" t="n">
        <v>8</v>
      </c>
    </row>
    <row r="89">
      <c r="K89" s="313">
        <f>IF(Q89="","",IF(Q89-Q88=1,IFERROR(IF(Q90-Q89=1,"~",2),2),1))</f>
        <v/>
      </c>
      <c r="L89" s="313">
        <f>IF(K89="","",COUNTIF($K$81:K89,1))</f>
        <v/>
      </c>
      <c r="M89" s="313">
        <f>IF(K89="","",COUNTIF($K$81:K89,2))</f>
        <v/>
      </c>
      <c r="N89" s="826">
        <f>Q89</f>
        <v/>
      </c>
      <c r="O89" s="827">
        <f>K90</f>
        <v/>
      </c>
      <c r="P89" s="824">
        <f>IFERROR(VLOOKUP(1,$M$81:$N$90,2,FALSE),"")</f>
        <v/>
      </c>
      <c r="Q89" s="326">
        <f>IFERROR(VLOOKUP(R89,$D$4:$H$34,5,FALSE),"")</f>
        <v/>
      </c>
      <c r="R89" s="322" t="n">
        <v>9</v>
      </c>
    </row>
    <row r="90">
      <c r="K90" s="313">
        <f>IF(Q90="","",IF(Q90-Q89=1,IFERROR(IF(Q91-Q90=1,"~",2),2),1))</f>
        <v/>
      </c>
      <c r="L90" s="313">
        <f>IF(K90="","",COUNTIF($K$81:K90,1))</f>
        <v/>
      </c>
      <c r="M90" s="313">
        <f>IF(K90="","",COUNTIF($K$81:K90,2))</f>
        <v/>
      </c>
      <c r="N90" s="826">
        <f>Q90</f>
        <v/>
      </c>
      <c r="O90" s="827">
        <f>K91</f>
        <v/>
      </c>
      <c r="P90" s="824">
        <f>IFERROR(VLOOKUP(1,$M$81:$N$90,2,FALSE),"")</f>
        <v/>
      </c>
      <c r="Q90" s="326">
        <f>IFERROR(VLOOKUP(R90,$D$4:$H$34,5,FALSE),"")</f>
        <v/>
      </c>
      <c r="R90" s="322" t="n">
        <v>10</v>
      </c>
    </row>
    <row r="91">
      <c r="K91" s="313">
        <f>IF(Q91="","",IF(Q91-Q90=1,IFERROR(IF(Q92-Q91=1,"~",2),2),1))</f>
        <v/>
      </c>
      <c r="L91" s="313">
        <f>IF(K91="","",COUNTIF($K$81:K91,1))</f>
        <v/>
      </c>
      <c r="M91" s="313">
        <f>IF(K91="","",COUNTIF($K$81:K91,2))</f>
        <v/>
      </c>
      <c r="N91" s="826">
        <f>Q91</f>
        <v/>
      </c>
      <c r="O91" s="827">
        <f>K92</f>
        <v/>
      </c>
      <c r="P91" s="824">
        <f>IFERROR(VLOOKUP(1,$M$81:$N$90,2,FALSE),"")</f>
        <v/>
      </c>
      <c r="Q91" s="326">
        <f>IFERROR(VLOOKUP(R91,$D$4:$H$34,5,FALSE),"")</f>
        <v/>
      </c>
      <c r="R91" s="322" t="n">
        <v>11</v>
      </c>
    </row>
    <row r="92">
      <c r="K92" s="313">
        <f>IF(Q92="","",IF(Q92-Q91=1,IFERROR(IF(Q93-Q92=1,"~",2),2),1))</f>
        <v/>
      </c>
      <c r="L92" s="313">
        <f>IF(K92="","",COUNTIF($K$81:K92,1))</f>
        <v/>
      </c>
      <c r="M92" s="313">
        <f>IF(K92="","",COUNTIF($K$81:K92,2))</f>
        <v/>
      </c>
      <c r="N92" s="826">
        <f>Q92</f>
        <v/>
      </c>
      <c r="O92" s="827">
        <f>K93</f>
        <v/>
      </c>
      <c r="P92" s="824">
        <f>IFERROR(VLOOKUP(1,$M$81:$N$90,2,FALSE),"")</f>
        <v/>
      </c>
      <c r="Q92" s="326">
        <f>IFERROR(VLOOKUP(R92,$D$4:$H$34,5,FALSE),"")</f>
        <v/>
      </c>
      <c r="R92" s="322" t="n">
        <v>12</v>
      </c>
    </row>
    <row r="93">
      <c r="K93" s="313">
        <f>IF(Q93="","",IF(Q93-Q92=1,IFERROR(IF(Q94-Q93=1,"~",2),2),1))</f>
        <v/>
      </c>
      <c r="L93" s="313">
        <f>IF(K93="","",COUNTIF($K$81:K93,1))</f>
        <v/>
      </c>
      <c r="M93" s="313">
        <f>IF(K93="","",COUNTIF($K$81:K93,2))</f>
        <v/>
      </c>
      <c r="N93" s="826">
        <f>Q93</f>
        <v/>
      </c>
      <c r="O93" s="827">
        <f>K94</f>
        <v/>
      </c>
      <c r="P93" s="824">
        <f>IFERROR(VLOOKUP(1,$M$81:$N$90,2,FALSE),"")</f>
        <v/>
      </c>
      <c r="Q93" s="326">
        <f>IFERROR(VLOOKUP(R93,$D$4:$H$34,5,FALSE),"")</f>
        <v/>
      </c>
      <c r="R93" s="322" t="n">
        <v>13</v>
      </c>
    </row>
    <row r="94">
      <c r="K94" s="313">
        <f>IF(Q94="","",IF(Q94-Q93=1,IFERROR(IF(Q95-Q94=1,"~",2),2),1))</f>
        <v/>
      </c>
      <c r="L94" s="313">
        <f>IF(K94="","",COUNTIF($K$81:K94,1))</f>
        <v/>
      </c>
      <c r="M94" s="313">
        <f>IF(K94="","",COUNTIF($K$81:K94,2))</f>
        <v/>
      </c>
      <c r="N94" s="826">
        <f>Q94</f>
        <v/>
      </c>
      <c r="O94" s="827">
        <f>K95</f>
        <v/>
      </c>
      <c r="P94" s="824">
        <f>IFERROR(VLOOKUP(1,$M$81:$N$90,2,FALSE),"")</f>
        <v/>
      </c>
      <c r="Q94" s="326">
        <f>IFERROR(VLOOKUP(R94,$D$4:$H$34,5,FALSE),"")</f>
        <v/>
      </c>
      <c r="R94" s="322" t="n">
        <v>14</v>
      </c>
    </row>
    <row r="95">
      <c r="K95" s="313">
        <f>IF(Q95="","",IF(Q95-Q94=1,IFERROR(IF(Q96-Q95=1,"~",2),2),1))</f>
        <v/>
      </c>
      <c r="L95" s="313">
        <f>IF(K95="","",COUNTIF($K$81:K95,1))</f>
        <v/>
      </c>
      <c r="M95" s="313">
        <f>IF(K95="","",COUNTIF($K$81:K95,2))</f>
        <v/>
      </c>
      <c r="N95" s="826">
        <f>Q95</f>
        <v/>
      </c>
      <c r="O95" s="827">
        <f>K96</f>
        <v/>
      </c>
      <c r="P95" s="824">
        <f>IFERROR(VLOOKUP(1,$M$81:$N$90,2,FALSE),"")</f>
        <v/>
      </c>
      <c r="Q95" s="326">
        <f>IFERROR(VLOOKUP(R95,$D$4:$H$34,5,FALSE),"")</f>
        <v/>
      </c>
      <c r="R95" s="322" t="n">
        <v>15</v>
      </c>
    </row>
    <row r="96">
      <c r="K96" s="313">
        <f>IF(Q96="","",IF(Q96-Q95=1,IFERROR(IF(Q97-Q96=1,"~",2),2),1))</f>
        <v/>
      </c>
      <c r="L96" s="313">
        <f>IF(K96="","",COUNTIF($K$81:K96,1))</f>
        <v/>
      </c>
      <c r="M96" s="313">
        <f>IF(K96="","",COUNTIF($K$81:K96,2))</f>
        <v/>
      </c>
      <c r="N96" s="826">
        <f>Q96</f>
        <v/>
      </c>
      <c r="O96" s="827">
        <f>K97</f>
        <v/>
      </c>
      <c r="P96" s="824">
        <f>IFERROR(VLOOKUP(1,$M$81:$N$90,2,FALSE),"")</f>
        <v/>
      </c>
      <c r="Q96" s="326">
        <f>IFERROR(VLOOKUP(R96,$D$4:$H$34,5,FALSE),"")</f>
        <v/>
      </c>
      <c r="R96" s="322" t="n">
        <v>16</v>
      </c>
    </row>
    <row r="97">
      <c r="K97" s="313">
        <f>IF(Q97="","",IF(Q97-Q96=1,IFERROR(IF(Q98-Q97=1,"~",2),2),1))</f>
        <v/>
      </c>
      <c r="L97" s="313">
        <f>IF(K97="","",COUNTIF($K$81:K97,1))</f>
        <v/>
      </c>
      <c r="M97" s="313">
        <f>IF(K97="","",COUNTIF($K$81:K97,2))</f>
        <v/>
      </c>
      <c r="N97" s="826">
        <f>Q97</f>
        <v/>
      </c>
      <c r="O97" s="827">
        <f>K98</f>
        <v/>
      </c>
      <c r="P97" s="824">
        <f>IFERROR(VLOOKUP(1,$M$81:$N$90,2,FALSE),"")</f>
        <v/>
      </c>
      <c r="Q97" s="326">
        <f>IFERROR(VLOOKUP(R97,$D$4:$H$34,5,FALSE),"")</f>
        <v/>
      </c>
      <c r="R97" s="322" t="n">
        <v>17</v>
      </c>
    </row>
    <row r="98">
      <c r="K98" s="313">
        <f>IF(Q98="","",IF(Q98-Q97=1,IFERROR(IF(Q99-Q98=1,"~",2),2),1))</f>
        <v/>
      </c>
      <c r="L98" s="313">
        <f>IF(K98="","",COUNTIF($K$81:K98,1))</f>
        <v/>
      </c>
      <c r="M98" s="313">
        <f>IF(K98="","",COUNTIF($K$81:K98,2))</f>
        <v/>
      </c>
      <c r="N98" s="826">
        <f>Q98</f>
        <v/>
      </c>
      <c r="O98" s="827">
        <f>K99</f>
        <v/>
      </c>
      <c r="P98" s="824">
        <f>IFERROR(VLOOKUP(1,$M$81:$N$90,2,FALSE),"")</f>
        <v/>
      </c>
      <c r="Q98" s="326">
        <f>IFERROR(VLOOKUP(R98,$D$4:$H$34,5,FALSE),"")</f>
        <v/>
      </c>
      <c r="R98" s="322" t="n">
        <v>18</v>
      </c>
    </row>
    <row r="99">
      <c r="K99" s="313">
        <f>IF(Q99="","",IF(Q99-Q98=1,IFERROR(IF(Q100-Q99=1,"~",2),2),1))</f>
        <v/>
      </c>
      <c r="L99" s="313">
        <f>IF(K99="","",COUNTIF($K$81:K99,1))</f>
        <v/>
      </c>
      <c r="M99" s="313">
        <f>IF(K99="","",COUNTIF($K$81:K99,2))</f>
        <v/>
      </c>
      <c r="N99" s="826">
        <f>Q99</f>
        <v/>
      </c>
      <c r="O99" s="827">
        <f>K100</f>
        <v/>
      </c>
      <c r="P99" s="824">
        <f>IFERROR(VLOOKUP(1,$M$81:$N$90,2,FALSE),"")</f>
        <v/>
      </c>
      <c r="Q99" s="326">
        <f>IFERROR(VLOOKUP(R99,$D$4:$H$34,5,FALSE),"")</f>
        <v/>
      </c>
      <c r="R99" s="322" t="n">
        <v>19</v>
      </c>
    </row>
    <row r="100">
      <c r="K100" s="313">
        <f>IF(Q100="","",IF(Q100-Q99=1,IFERROR(IF(Q101-Q100=1,"~",2),2),1))</f>
        <v/>
      </c>
      <c r="L100" s="313">
        <f>IF(K100="","",COUNTIF($K$81:K100,1))</f>
        <v/>
      </c>
      <c r="M100" s="313">
        <f>IF(K100="","",COUNTIF($K$81:K100,2))</f>
        <v/>
      </c>
      <c r="N100" s="826">
        <f>Q100</f>
        <v/>
      </c>
      <c r="O100" s="827">
        <f>K101</f>
        <v/>
      </c>
      <c r="P100" s="824">
        <f>IFERROR(VLOOKUP(1,$M$81:$N$90,2,FALSE),"")</f>
        <v/>
      </c>
      <c r="Q100" s="326">
        <f>IFERROR(VLOOKUP(R100,$D$4:$H$34,5,FALSE),"")</f>
        <v/>
      </c>
      <c r="R100" s="322" t="n">
        <v>20</v>
      </c>
    </row>
    <row r="101">
      <c r="K101" s="313">
        <f>IF(Q101="","",IF(Q101-Q100=1,IFERROR(IF(Q102-Q101=1,"~",2),2),1))</f>
        <v/>
      </c>
      <c r="L101" s="313">
        <f>IF(K101="","",COUNTIF($K$81:K101,1))</f>
        <v/>
      </c>
      <c r="M101" s="313">
        <f>IF(K101="","",COUNTIF($K$81:K101,2))</f>
        <v/>
      </c>
      <c r="N101" s="826">
        <f>Q101</f>
        <v/>
      </c>
      <c r="O101" s="827">
        <f>K102</f>
        <v/>
      </c>
      <c r="P101" s="824">
        <f>IFERROR(VLOOKUP(1,$M$81:$N$90,2,FALSE),"")</f>
        <v/>
      </c>
      <c r="Q101" s="326">
        <f>IFERROR(VLOOKUP(R101,$D$4:$H$34,5,FALSE),"")</f>
        <v/>
      </c>
      <c r="R101" s="322" t="n">
        <v>21</v>
      </c>
    </row>
    <row r="102">
      <c r="K102" s="313">
        <f>IF(Q102="","",IF(Q102-Q101=1,IFERROR(IF(Q103-Q102=1,"~",2),2),1))</f>
        <v/>
      </c>
      <c r="L102" s="313">
        <f>IF(K102="","",COUNTIF($K$81:K102,1))</f>
        <v/>
      </c>
      <c r="M102" s="313">
        <f>IF(K102="","",COUNTIF($K$81:K102,2))</f>
        <v/>
      </c>
      <c r="N102" s="826">
        <f>Q102</f>
        <v/>
      </c>
      <c r="O102" s="827">
        <f>K103</f>
        <v/>
      </c>
      <c r="P102" s="824">
        <f>IFERROR(VLOOKUP(1,$M$81:$N$90,2,FALSE),"")</f>
        <v/>
      </c>
      <c r="Q102" s="326">
        <f>IFERROR(VLOOKUP(R102,$D$4:$H$34,5,FALSE),"")</f>
        <v/>
      </c>
      <c r="R102" s="322" t="n">
        <v>22</v>
      </c>
    </row>
    <row r="103">
      <c r="K103" s="313">
        <f>IF(Q103="","",IF(Q103-Q102=1,IFERROR(IF(Q104-Q103=1,"~",2),2),1))</f>
        <v/>
      </c>
      <c r="L103" s="313">
        <f>IF(K103="","",COUNTIF($K$81:K103,1))</f>
        <v/>
      </c>
      <c r="M103" s="313">
        <f>IF(K103="","",COUNTIF($K$81:K103,2))</f>
        <v/>
      </c>
      <c r="N103" s="826">
        <f>Q103</f>
        <v/>
      </c>
      <c r="O103" s="827">
        <f>K104</f>
        <v/>
      </c>
      <c r="P103" s="824">
        <f>IFERROR(VLOOKUP(1,$M$81:$N$90,2,FALSE),"")</f>
        <v/>
      </c>
      <c r="Q103" s="326">
        <f>IFERROR(VLOOKUP(R103,$D$4:$H$34,5,FALSE),"")</f>
        <v/>
      </c>
      <c r="R103" s="322" t="n">
        <v>23</v>
      </c>
    </row>
    <row r="104">
      <c r="K104" s="313">
        <f>IF(Q104="","",IF(Q104-Q103=1,IFERROR(IF(Q105-Q104=1,"~",2),2),1))</f>
        <v/>
      </c>
      <c r="L104" s="313">
        <f>IF(K104="","",COUNTIF($K$81:K104,1))</f>
        <v/>
      </c>
      <c r="M104" s="313">
        <f>IF(K104="","",COUNTIF($K$81:K104,2))</f>
        <v/>
      </c>
      <c r="N104" s="826">
        <f>Q104</f>
        <v/>
      </c>
      <c r="O104" s="827">
        <f>K105</f>
        <v/>
      </c>
      <c r="P104" s="824">
        <f>IFERROR(VLOOKUP(1,$M$81:$N$90,2,FALSE),"")</f>
        <v/>
      </c>
      <c r="Q104" s="326">
        <f>IFERROR(VLOOKUP(R104,$D$4:$H$34,5,FALSE),"")</f>
        <v/>
      </c>
      <c r="R104" s="322" t="n">
        <v>24</v>
      </c>
    </row>
    <row r="105">
      <c r="K105" s="313">
        <f>IF(Q105="","",IF(Q105-Q104=1,IFERROR(IF(Q106-Q105=1,"~",2),2),1))</f>
        <v/>
      </c>
      <c r="L105" s="313">
        <f>IF(K105="","",COUNTIF($K$81:K105,1))</f>
        <v/>
      </c>
      <c r="M105" s="313">
        <f>IF(K105="","",COUNTIF($K$81:K105,2))</f>
        <v/>
      </c>
      <c r="N105" s="826">
        <f>Q105</f>
        <v/>
      </c>
      <c r="O105" s="827">
        <f>K106</f>
        <v/>
      </c>
      <c r="P105" s="824">
        <f>IFERROR(VLOOKUP(1,$M$81:$N$90,2,FALSE),"")</f>
        <v/>
      </c>
      <c r="Q105" s="326">
        <f>IFERROR(VLOOKUP(R105,$D$4:$H$34,5,FALSE),"")</f>
        <v/>
      </c>
      <c r="R105" s="322" t="n">
        <v>25</v>
      </c>
    </row>
    <row r="106">
      <c r="K106" s="313">
        <f>IF(Q106="","",IF(Q106-Q105=1,IFERROR(IF(Q107-Q106=1,"~",2),2),1))</f>
        <v/>
      </c>
      <c r="L106" s="313">
        <f>IF(K106="","",COUNTIF($K$81:K106,1))</f>
        <v/>
      </c>
      <c r="M106" s="313">
        <f>IF(K106="","",COUNTIF($K$81:K106,2))</f>
        <v/>
      </c>
      <c r="N106" s="826">
        <f>Q106</f>
        <v/>
      </c>
      <c r="O106" s="827">
        <f>K107</f>
        <v/>
      </c>
      <c r="P106" s="824">
        <f>IFERROR(VLOOKUP(1,$M$81:$N$90,2,FALSE),"")</f>
        <v/>
      </c>
      <c r="Q106" s="326">
        <f>IFERROR(VLOOKUP(R106,$D$4:$H$34,5,FALSE),"")</f>
        <v/>
      </c>
      <c r="R106" s="322" t="n">
        <v>26</v>
      </c>
    </row>
    <row r="107">
      <c r="K107" s="313">
        <f>IF(Q107="","",IF(Q107-Q106=1,IFERROR(IF(Q108-Q107=1,"~",2),2),1))</f>
        <v/>
      </c>
      <c r="L107" s="313">
        <f>IF(K107="","",COUNTIF($K$81:K107,1))</f>
        <v/>
      </c>
      <c r="M107" s="313">
        <f>IF(K107="","",COUNTIF($K$81:K107,2))</f>
        <v/>
      </c>
      <c r="N107" s="826">
        <f>Q107</f>
        <v/>
      </c>
      <c r="O107" s="827">
        <f>K108</f>
        <v/>
      </c>
      <c r="P107" s="824">
        <f>IFERROR(VLOOKUP(1,$M$81:$N$90,2,FALSE),"")</f>
        <v/>
      </c>
      <c r="Q107" s="326">
        <f>IFERROR(VLOOKUP(R107,$D$4:$H$34,5,FALSE),"")</f>
        <v/>
      </c>
      <c r="R107" s="322" t="n">
        <v>27</v>
      </c>
    </row>
    <row r="108">
      <c r="K108" s="313">
        <f>IF(Q108="","",IF(Q108-Q107=1,IFERROR(IF(Q109-Q108=1,"~",2),2),1))</f>
        <v/>
      </c>
      <c r="L108" s="313">
        <f>IF(K108="","",COUNTIF($K$81:K108,1))</f>
        <v/>
      </c>
      <c r="M108" s="313">
        <f>IF(K108="","",COUNTIF($K$81:K108,2))</f>
        <v/>
      </c>
      <c r="N108" s="826">
        <f>Q108</f>
        <v/>
      </c>
      <c r="O108" s="827">
        <f>K109</f>
        <v/>
      </c>
      <c r="P108" s="824">
        <f>IFERROR(VLOOKUP(1,$M$81:$N$90,2,FALSE),"")</f>
        <v/>
      </c>
      <c r="Q108" s="326">
        <f>IFERROR(VLOOKUP(R108,$D$4:$H$34,5,FALSE),"")</f>
        <v/>
      </c>
      <c r="R108" s="322" t="n">
        <v>28</v>
      </c>
    </row>
    <row r="109">
      <c r="K109" s="313">
        <f>IF(Q109="","",IF(Q109-Q108=1,IFERROR(IF(Q110-Q109=1,"~",2),2),1))</f>
        <v/>
      </c>
      <c r="L109" s="313">
        <f>IF(K109="","",COUNTIF($K$81:K109,1))</f>
        <v/>
      </c>
      <c r="M109" s="313">
        <f>IF(K109="","",COUNTIF($K$81:K109,2))</f>
        <v/>
      </c>
      <c r="N109" s="826">
        <f>Q109</f>
        <v/>
      </c>
      <c r="O109" s="827">
        <f>K110</f>
        <v/>
      </c>
      <c r="P109" s="824">
        <f>IFERROR(VLOOKUP(1,$M$81:$N$90,2,FALSE),"")</f>
        <v/>
      </c>
      <c r="Q109" s="326">
        <f>IFERROR(VLOOKUP(R109,$D$4:$H$34,5,FALSE),"")</f>
        <v/>
      </c>
      <c r="R109" s="322" t="n">
        <v>29</v>
      </c>
    </row>
    <row r="110">
      <c r="K110" s="313">
        <f>IF(Q110="","",IF(Q110-Q109=1,IFERROR(IF(Q111-Q110=1,"~",2),2),1))</f>
        <v/>
      </c>
      <c r="L110" s="313">
        <f>IF(K110="","",COUNTIF($K$81:K110,1))</f>
        <v/>
      </c>
      <c r="M110" s="313">
        <f>IF(K110="","",COUNTIF($K$81:K110,2))</f>
        <v/>
      </c>
      <c r="N110" s="826">
        <f>Q110</f>
        <v/>
      </c>
      <c r="O110" s="827">
        <f>K111</f>
        <v/>
      </c>
      <c r="P110" s="824">
        <f>IFERROR(VLOOKUP(1,$M$81:$N$90,2,FALSE),"")</f>
        <v/>
      </c>
      <c r="Q110" s="326">
        <f>IFERROR(VLOOKUP(R110,$D$4:$H$34,5,FALSE),"")</f>
        <v/>
      </c>
      <c r="R110" s="322" t="n">
        <v>30</v>
      </c>
    </row>
    <row r="111">
      <c r="K111" s="313">
        <f>IF(Q111="","",IF(Q111-Q110=1,IFERROR(IF(Q112-Q111=1,"~",2),2),1))</f>
        <v/>
      </c>
      <c r="L111" s="313">
        <f>IF(K111="","",COUNTIF($K$81:K111,1))</f>
        <v/>
      </c>
      <c r="M111" s="313">
        <f>IF(K111="","",COUNTIF($K$81:K111,2))</f>
        <v/>
      </c>
      <c r="N111" s="826">
        <f>Q111</f>
        <v/>
      </c>
      <c r="O111" s="827">
        <f>K112</f>
        <v/>
      </c>
      <c r="P111" s="824">
        <f>IFERROR(VLOOKUP(1,$M$81:$N$90,2,FALSE),"")</f>
        <v/>
      </c>
      <c r="Q111" s="326">
        <f>IFERROR(VLOOKUP(R111,$D$4:$H$34,5,FALSE),"")</f>
        <v/>
      </c>
      <c r="R111" s="322" t="n">
        <v>31</v>
      </c>
    </row>
    <row r="113">
      <c r="K113" s="322" t="inlineStr">
        <is>
          <t>■会社規定休</t>
        </is>
      </c>
    </row>
    <row r="114">
      <c r="K114" s="122" t="inlineStr">
        <is>
          <t>No</t>
        </is>
      </c>
      <c r="L114" s="123" t="inlineStr">
        <is>
          <t>Start</t>
        </is>
      </c>
      <c r="M114" s="123" t="inlineStr">
        <is>
          <t>End</t>
        </is>
      </c>
      <c r="N114" s="123" t="n">
        <v>0</v>
      </c>
      <c r="O114" s="124" t="inlineStr">
        <is>
          <t>=No+1行</t>
        </is>
      </c>
      <c r="P114" s="123" t="inlineStr">
        <is>
          <t>End Day</t>
        </is>
      </c>
      <c r="Q114" s="322" t="n">
        <v>0</v>
      </c>
    </row>
    <row r="115">
      <c r="K115" s="313">
        <f>IF(Q115="","",IF(Q115-Q114=1,IFERROR(IF(Q116-Q115=1,"~",2),2),1))</f>
        <v/>
      </c>
      <c r="L115" s="313">
        <f>IF(K115="","",COUNTIF($K$4:K115,1))</f>
        <v/>
      </c>
      <c r="M115" s="313">
        <f>IF(K115="","",COUNTIF($K$4:K115,2))</f>
        <v/>
      </c>
      <c r="N115" s="826">
        <f>Q115</f>
        <v/>
      </c>
      <c r="O115" s="827">
        <f>K116</f>
        <v/>
      </c>
      <c r="P115" s="824">
        <f>IFERROR(VLOOKUP(1,$M$4:$N$17,2,FALSE),"")</f>
        <v/>
      </c>
      <c r="Q115" s="326">
        <f>IFERROR(VLOOKUP(R115,$C$4:$H$34,6,FALSE),"")</f>
        <v/>
      </c>
      <c r="R115" s="322" t="n">
        <v>1</v>
      </c>
    </row>
    <row r="116">
      <c r="K116" s="313">
        <f>IF(Q116="","",IF(Q116-Q115=1,IFERROR(IF(Q117-Q116=1,"~",2),2),1))</f>
        <v/>
      </c>
      <c r="L116" s="313">
        <f>IF(K116="","",COUNTIF($K$115:K116,1))</f>
        <v/>
      </c>
      <c r="M116" s="313">
        <f>IF(K116="","",COUNTIF($K$115:K116,2))</f>
        <v/>
      </c>
      <c r="N116" s="826">
        <f>Q116</f>
        <v/>
      </c>
      <c r="O116" s="827">
        <f>K117</f>
        <v/>
      </c>
      <c r="P116" s="824">
        <f>IFERROR(VLOOKUP(2,$M$81:$N$90,2,FALSE),"")</f>
        <v/>
      </c>
      <c r="Q116" s="326">
        <f>IFERROR(VLOOKUP(R116,$C$4:$H$34,6,FALSE),"")</f>
        <v/>
      </c>
      <c r="R116" s="322" t="n">
        <v>2</v>
      </c>
    </row>
    <row r="117">
      <c r="K117" s="313">
        <f>IF(Q117="","",IF(Q117-Q116=1,IFERROR(IF(Q118-Q117=1,"~",2),2),1))</f>
        <v/>
      </c>
      <c r="L117" s="313">
        <f>IF(K117="","",COUNTIF($K$115:K117,1))</f>
        <v/>
      </c>
      <c r="M117" s="313">
        <f>IF(K117="","",COUNTIF($K$115:K117,2))</f>
        <v/>
      </c>
      <c r="N117" s="826">
        <f>Q117</f>
        <v/>
      </c>
      <c r="O117" s="827">
        <f>K118</f>
        <v/>
      </c>
      <c r="P117" s="824">
        <f>IFERROR(VLOOKUP(3,$M$81:$N$90,2,FALSE),"")</f>
        <v/>
      </c>
      <c r="Q117" s="326">
        <f>IFERROR(VLOOKUP(R117,$C$4:$H$34,6,FALSE),"")</f>
        <v/>
      </c>
      <c r="R117" s="322" t="n">
        <v>3</v>
      </c>
    </row>
    <row r="118">
      <c r="K118" s="313" t="n"/>
      <c r="L118" s="313" t="n"/>
      <c r="M118" s="313" t="n"/>
      <c r="N118" s="826" t="n"/>
      <c r="O118" s="827" t="n"/>
      <c r="P118" s="824" t="n"/>
      <c r="Q118" s="326">
        <f>IFERROR(VLOOKUP(R118,$C$4:$H$34,6,FALSE),"")</f>
        <v/>
      </c>
      <c r="R118" s="322" t="n">
        <v>4</v>
      </c>
    </row>
    <row r="120">
      <c r="K120" s="322" t="inlineStr">
        <is>
          <t>■振替休暇（半日）</t>
        </is>
      </c>
    </row>
    <row r="121">
      <c r="K121" s="122" t="inlineStr">
        <is>
          <t>No</t>
        </is>
      </c>
      <c r="L121" s="123" t="inlineStr">
        <is>
          <t>Start</t>
        </is>
      </c>
      <c r="M121" s="123" t="inlineStr">
        <is>
          <t>End</t>
        </is>
      </c>
      <c r="N121" s="123" t="n">
        <v>0</v>
      </c>
      <c r="O121" s="124" t="inlineStr">
        <is>
          <t>=No+1行</t>
        </is>
      </c>
      <c r="P121" s="123" t="inlineStr">
        <is>
          <t>End Day</t>
        </is>
      </c>
      <c r="Q121" s="322" t="n">
        <v>0</v>
      </c>
    </row>
    <row r="122">
      <c r="K122" s="313">
        <f>IF(Q122="","",IF(Q122-Q121=1,IFERROR(IF(Q123-Q122=1,"~",2),2),1))</f>
        <v/>
      </c>
      <c r="L122" s="313">
        <f>IF(K122="","",COUNTIF($K$4:K122,1))</f>
        <v/>
      </c>
      <c r="M122" s="313">
        <f>IF(K122="","",COUNTIF($K$4:K122,2))</f>
        <v/>
      </c>
      <c r="N122" s="826">
        <f>Q122</f>
        <v/>
      </c>
      <c r="O122" s="827">
        <f>K123</f>
        <v/>
      </c>
      <c r="P122" s="824">
        <f>IFERROR(VLOOKUP(1,$M$4:$N$17,2,FALSE),"")</f>
        <v/>
      </c>
      <c r="Q122" s="326">
        <f>IFERROR(VLOOKUP(R122,$A$4:$H$34,8,FALSE),"")</f>
        <v/>
      </c>
      <c r="R122" s="322" t="n">
        <v>1</v>
      </c>
    </row>
    <row r="123">
      <c r="K123" s="313">
        <f>IF(Q123="","",IF(Q123-Q122=1,IFERROR(IF(Q124-Q123=1,"~",2),2),1))</f>
        <v/>
      </c>
      <c r="L123" s="313">
        <f>IF(K123="","",COUNTIF($K$4:K123,1))</f>
        <v/>
      </c>
      <c r="M123" s="313">
        <f>IF(K123="","",COUNTIF($K$4:K123,2))</f>
        <v/>
      </c>
      <c r="N123" s="826">
        <f>Q123</f>
        <v/>
      </c>
      <c r="O123" s="827">
        <f>K124</f>
        <v/>
      </c>
      <c r="P123" s="824">
        <f>IFERROR(VLOOKUP(1,$M$4:$N$17,2,FALSE),"")</f>
        <v/>
      </c>
      <c r="Q123" s="326">
        <f>IFERROR(VLOOKUP(R123,$A$4:$H$34,8,FALSE),"")</f>
        <v/>
      </c>
      <c r="R123" s="322" t="n">
        <v>2</v>
      </c>
    </row>
    <row r="124">
      <c r="K124" s="313">
        <f>IF(Q124="","",IF(Q124-Q123=1,IFERROR(IF(Q125-Q124=1,"~",2),2),1))</f>
        <v/>
      </c>
      <c r="L124" s="313">
        <f>IF(K124="","",COUNTIF($K$4:K124,1))</f>
        <v/>
      </c>
      <c r="M124" s="313">
        <f>IF(K124="","",COUNTIF($K$4:K124,2))</f>
        <v/>
      </c>
      <c r="N124" s="826">
        <f>Q124</f>
        <v/>
      </c>
      <c r="O124" s="827">
        <f>K125</f>
        <v/>
      </c>
      <c r="P124" s="824">
        <f>IFERROR(VLOOKUP(1,$M$4:$N$17,2,FALSE),"")</f>
        <v/>
      </c>
      <c r="Q124" s="326">
        <f>IFERROR(VLOOKUP(R124,$A$4:$H$34,8,FALSE),"")</f>
        <v/>
      </c>
      <c r="R124" s="322" t="n">
        <v>3</v>
      </c>
    </row>
    <row r="125">
      <c r="K125" s="313">
        <f>IF(Q125="","",IF(Q125-Q124=1,IFERROR(IF(Q126-Q125=1,"~",2),2),1))</f>
        <v/>
      </c>
      <c r="L125" s="313">
        <f>IF(K125="","",COUNTIF($K$4:K125,1))</f>
        <v/>
      </c>
      <c r="M125" s="313">
        <f>IF(K125="","",COUNTIF($K$4:K125,2))</f>
        <v/>
      </c>
      <c r="N125" s="826">
        <f>Q125</f>
        <v/>
      </c>
      <c r="O125" s="827">
        <f>K126</f>
        <v/>
      </c>
      <c r="P125" s="824">
        <f>IFERROR(VLOOKUP(1,$M$4:$N$17,2,FALSE),"")</f>
        <v/>
      </c>
      <c r="Q125" s="326">
        <f>IFERROR(VLOOKUP(R125,$A$4:$H$34,8,FALSE),"")</f>
        <v/>
      </c>
      <c r="R125" s="322" t="n">
        <v>4</v>
      </c>
    </row>
    <row r="126">
      <c r="K126" s="313">
        <f>IF(Q126="","",IF(Q126-Q125=1,IFERROR(IF(Q127-Q126=1,"~",2),2),1))</f>
        <v/>
      </c>
      <c r="L126" s="313">
        <f>IF(K126="","",COUNTIF($K$4:K126,1))</f>
        <v/>
      </c>
      <c r="M126" s="313">
        <f>IF(K126="","",COUNTIF($K$4:K126,2))</f>
        <v/>
      </c>
      <c r="N126" s="826">
        <f>Q126</f>
        <v/>
      </c>
      <c r="O126" s="827">
        <f>K127</f>
        <v/>
      </c>
      <c r="P126" s="824">
        <f>IFERROR(VLOOKUP(1,$M$4:$N$17,2,FALSE),"")</f>
        <v/>
      </c>
      <c r="Q126" s="326">
        <f>IFERROR(VLOOKUP(R126,$A$4:$H$34,8,FALSE),"")</f>
        <v/>
      </c>
      <c r="R126" s="322" t="n">
        <v>5</v>
      </c>
    </row>
    <row r="127">
      <c r="K127" s="313">
        <f>IF(Q127="","",IF(Q127-Q126=1,IFERROR(IF(Q128-Q127=1,"~",2),2),1))</f>
        <v/>
      </c>
      <c r="L127" s="313">
        <f>IF(K127="","",COUNTIF($K$4:K127,1))</f>
        <v/>
      </c>
      <c r="M127" s="313">
        <f>IF(K127="","",COUNTIF($K$4:K127,2))</f>
        <v/>
      </c>
      <c r="N127" s="826">
        <f>Q127</f>
        <v/>
      </c>
      <c r="O127" s="827">
        <f>K128</f>
        <v/>
      </c>
      <c r="P127" s="824">
        <f>IFERROR(VLOOKUP(1,$M$4:$N$17,2,FALSE),"")</f>
        <v/>
      </c>
      <c r="Q127" s="326">
        <f>IFERROR(VLOOKUP(R127,$A$4:$H$34,8,FALSE),"")</f>
        <v/>
      </c>
      <c r="R127" s="322" t="n">
        <v>6</v>
      </c>
    </row>
    <row r="128">
      <c r="K128" s="313">
        <f>IF(Q128="","",IF(Q128-Q127=1,IFERROR(IF(Q129-Q128=1,"~",2),2),1))</f>
        <v/>
      </c>
      <c r="L128" s="313">
        <f>IF(K128="","",COUNTIF($K$4:K128,1))</f>
        <v/>
      </c>
      <c r="M128" s="313">
        <f>IF(K128="","",COUNTIF($K$4:K128,2))</f>
        <v/>
      </c>
      <c r="N128" s="826">
        <f>Q128</f>
        <v/>
      </c>
      <c r="O128" s="827">
        <f>K129</f>
        <v/>
      </c>
      <c r="P128" s="824">
        <f>IFERROR(VLOOKUP(1,$M$4:$N$17,2,FALSE),"")</f>
        <v/>
      </c>
      <c r="Q128" s="326">
        <f>IFERROR(VLOOKUP(R128,$A$4:$H$34,8,FALSE),"")</f>
        <v/>
      </c>
      <c r="R128" s="322" t="n">
        <v>7</v>
      </c>
    </row>
    <row r="129">
      <c r="K129" s="313">
        <f>IF(Q129="","",IF(Q129-Q128=1,IFERROR(IF(Q130-Q129=1,"~",2),2),1))</f>
        <v/>
      </c>
      <c r="L129" s="313">
        <f>IF(K129="","",COUNTIF($K$4:K129,1))</f>
        <v/>
      </c>
      <c r="M129" s="313">
        <f>IF(K129="","",COUNTIF($K$4:K129,2))</f>
        <v/>
      </c>
      <c r="N129" s="826">
        <f>Q129</f>
        <v/>
      </c>
      <c r="O129" s="827">
        <f>K130</f>
        <v/>
      </c>
      <c r="P129" s="824">
        <f>IFERROR(VLOOKUP(1,$M$4:$N$17,2,FALSE),"")</f>
        <v/>
      </c>
      <c r="Q129" s="326">
        <f>IFERROR(VLOOKUP(R129,$A$4:$H$34,8,FALSE),"")</f>
        <v/>
      </c>
      <c r="R129" s="322" t="n">
        <v>8</v>
      </c>
    </row>
    <row r="130">
      <c r="K130" s="313">
        <f>IF(Q130="","",IF(Q130-Q129=1,IFERROR(IF(Q131-Q130=1,"~",2),2),1))</f>
        <v/>
      </c>
      <c r="L130" s="313">
        <f>IF(K130="","",COUNTIF($K$4:K130,1))</f>
        <v/>
      </c>
      <c r="M130" s="313">
        <f>IF(K130="","",COUNTIF($K$4:K130,2))</f>
        <v/>
      </c>
      <c r="N130" s="826">
        <f>Q130</f>
        <v/>
      </c>
      <c r="O130" s="827">
        <f>K131</f>
        <v/>
      </c>
      <c r="P130" s="824">
        <f>IFERROR(VLOOKUP(1,$M$4:$N$17,2,FALSE),"")</f>
        <v/>
      </c>
      <c r="Q130" s="326">
        <f>IFERROR(VLOOKUP(R130,$A$4:$H$34,8,FALSE),"")</f>
        <v/>
      </c>
      <c r="R130" s="322" t="n">
        <v>9</v>
      </c>
    </row>
    <row r="131">
      <c r="K131" s="313">
        <f>IF(Q131="","",IF(Q131-Q130=1,IFERROR(IF(Q132-Q131=1,"~",2),2),1))</f>
        <v/>
      </c>
      <c r="L131" s="313">
        <f>IF(K131="","",COUNTIF($K$4:K131,1))</f>
        <v/>
      </c>
      <c r="M131" s="313">
        <f>IF(K131="","",COUNTIF($K$4:K131,2))</f>
        <v/>
      </c>
      <c r="N131" s="826">
        <f>Q131</f>
        <v/>
      </c>
      <c r="O131" s="827">
        <f>K132</f>
        <v/>
      </c>
      <c r="P131" s="824">
        <f>IFERROR(VLOOKUP(1,$M$4:$N$17,2,FALSE),"")</f>
        <v/>
      </c>
      <c r="Q131" s="326">
        <f>IFERROR(VLOOKUP(R131,$A$4:$H$34,8,FALSE),"")</f>
        <v/>
      </c>
      <c r="R131" s="322" t="n">
        <v>10</v>
      </c>
    </row>
    <row r="132">
      <c r="K132" s="313">
        <f>IF(Q132="","",IF(Q132-Q131=1,IFERROR(IF(Q133-Q132=1,"~",2),2),1))</f>
        <v/>
      </c>
      <c r="L132" s="313">
        <f>IF(K132="","",COUNTIF($K$4:K132,1))</f>
        <v/>
      </c>
      <c r="M132" s="313">
        <f>IF(K132="","",COUNTIF($K$4:K132,2))</f>
        <v/>
      </c>
      <c r="N132" s="826">
        <f>Q132</f>
        <v/>
      </c>
      <c r="O132" s="827">
        <f>K133</f>
        <v/>
      </c>
      <c r="P132" s="824">
        <f>IFERROR(VLOOKUP(1,$M$4:$N$17,2,FALSE),"")</f>
        <v/>
      </c>
      <c r="Q132" s="326">
        <f>IFERROR(VLOOKUP(R132,$A$4:$H$34,8,FALSE),"")</f>
        <v/>
      </c>
      <c r="R132" s="322" t="n">
        <v>11</v>
      </c>
    </row>
    <row r="133">
      <c r="K133" s="313">
        <f>IF(Q133="","",IF(Q133-Q132=1,IFERROR(IF(Q134-Q133=1,"~",2),2),1))</f>
        <v/>
      </c>
      <c r="L133" s="313">
        <f>IF(K133="","",COUNTIF($K$4:K133,1))</f>
        <v/>
      </c>
      <c r="M133" s="313">
        <f>IF(K133="","",COUNTIF($K$4:K133,2))</f>
        <v/>
      </c>
      <c r="N133" s="826">
        <f>Q133</f>
        <v/>
      </c>
      <c r="O133" s="827">
        <f>K134</f>
        <v/>
      </c>
      <c r="P133" s="824">
        <f>IFERROR(VLOOKUP(1,$M$4:$N$17,2,FALSE),"")</f>
        <v/>
      </c>
      <c r="Q133" s="326">
        <f>IFERROR(VLOOKUP(R133,$A$4:$H$34,8,FALSE),"")</f>
        <v/>
      </c>
      <c r="R133" s="322" t="n">
        <v>12</v>
      </c>
    </row>
    <row r="134">
      <c r="K134" s="313">
        <f>IF(Q134="","",IF(Q134-Q133=1,IFERROR(IF(Q135-Q134=1,"~",2),2),1))</f>
        <v/>
      </c>
      <c r="L134" s="313">
        <f>IF(K134="","",COUNTIF($K$4:K134,1))</f>
        <v/>
      </c>
      <c r="M134" s="313">
        <f>IF(K134="","",COUNTIF($K$4:K134,2))</f>
        <v/>
      </c>
      <c r="N134" s="826">
        <f>Q134</f>
        <v/>
      </c>
      <c r="O134" s="827">
        <f>K135</f>
        <v/>
      </c>
      <c r="P134" s="824">
        <f>IFERROR(VLOOKUP(1,$M$4:$N$17,2,FALSE),"")</f>
        <v/>
      </c>
      <c r="Q134" s="326">
        <f>IFERROR(VLOOKUP(R134,$A$4:$H$34,8,FALSE),"")</f>
        <v/>
      </c>
      <c r="R134" s="322" t="n">
        <v>13</v>
      </c>
    </row>
    <row r="135">
      <c r="K135" s="313">
        <f>IF(Q135="","",IF(Q135-Q134=1,IFERROR(IF(Q136-Q135=1,"~",2),2),1))</f>
        <v/>
      </c>
      <c r="L135" s="313">
        <f>IF(K135="","",COUNTIF($K$4:K135,1))</f>
        <v/>
      </c>
      <c r="M135" s="313">
        <f>IF(K135="","",COUNTIF($K$4:K135,2))</f>
        <v/>
      </c>
      <c r="N135" s="826">
        <f>Q135</f>
        <v/>
      </c>
      <c r="O135" s="827">
        <f>K136</f>
        <v/>
      </c>
      <c r="P135" s="824">
        <f>IFERROR(VLOOKUP(1,$M$4:$N$17,2,FALSE),"")</f>
        <v/>
      </c>
      <c r="Q135" s="326">
        <f>IFERROR(VLOOKUP(R135,$A$4:$H$34,8,FALSE),"")</f>
        <v/>
      </c>
      <c r="R135" s="322" t="n">
        <v>14</v>
      </c>
    </row>
    <row r="136">
      <c r="K136" s="313">
        <f>IF(Q136="","",IF(Q136-Q135=1,IFERROR(IF(Q137-Q136=1,"~",2),2),1))</f>
        <v/>
      </c>
      <c r="L136" s="313">
        <f>IF(K136="","",COUNTIF($K$4:K136,1))</f>
        <v/>
      </c>
      <c r="M136" s="313">
        <f>IF(K136="","",COUNTIF($K$4:K136,2))</f>
        <v/>
      </c>
      <c r="N136" s="826">
        <f>Q136</f>
        <v/>
      </c>
      <c r="O136" s="827">
        <f>K137</f>
        <v/>
      </c>
      <c r="P136" s="824">
        <f>IFERROR(VLOOKUP(1,$M$4:$N$17,2,FALSE),"")</f>
        <v/>
      </c>
      <c r="Q136" s="326">
        <f>IFERROR(VLOOKUP(R136,$A$4:$H$34,8,FALSE),"")</f>
        <v/>
      </c>
      <c r="R136" s="322" t="n">
        <v>15</v>
      </c>
    </row>
    <row r="137">
      <c r="K137" s="313">
        <f>IF(Q137="","",IF(Q137-Q136=1,IFERROR(IF(Q138-Q137=1,"~",2),2),1))</f>
        <v/>
      </c>
      <c r="L137" s="313">
        <f>IF(K137="","",COUNTIF($K$4:K137,1))</f>
        <v/>
      </c>
      <c r="M137" s="313">
        <f>IF(K137="","",COUNTIF($K$4:K137,2))</f>
        <v/>
      </c>
      <c r="N137" s="826">
        <f>Q137</f>
        <v/>
      </c>
      <c r="O137" s="827">
        <f>K138</f>
        <v/>
      </c>
      <c r="P137" s="824">
        <f>IFERROR(VLOOKUP(1,$M$4:$N$17,2,FALSE),"")</f>
        <v/>
      </c>
      <c r="Q137" s="326">
        <f>IFERROR(VLOOKUP(R137,$A$4:$H$34,8,FALSE),"")</f>
        <v/>
      </c>
      <c r="R137" s="322" t="n">
        <v>16</v>
      </c>
    </row>
    <row r="138">
      <c r="K138" s="313">
        <f>IF(Q138="","",IF(Q138-Q137=1,IFERROR(IF(Q139-Q138=1,"~",2),2),1))</f>
        <v/>
      </c>
      <c r="L138" s="313">
        <f>IF(K138="","",COUNTIF($K$4:K138,1))</f>
        <v/>
      </c>
      <c r="M138" s="313">
        <f>IF(K138="","",COUNTIF($K$4:K138,2))</f>
        <v/>
      </c>
      <c r="N138" s="826">
        <f>Q138</f>
        <v/>
      </c>
      <c r="O138" s="827">
        <f>K139</f>
        <v/>
      </c>
      <c r="P138" s="824">
        <f>IFERROR(VLOOKUP(1,$M$4:$N$17,2,FALSE),"")</f>
        <v/>
      </c>
      <c r="Q138" s="326">
        <f>IFERROR(VLOOKUP(R138,$A$4:$H$34,8,FALSE),"")</f>
        <v/>
      </c>
      <c r="R138" s="322" t="n">
        <v>17</v>
      </c>
    </row>
    <row r="139">
      <c r="K139" s="313">
        <f>IF(Q139="","",IF(Q139-Q138=1,IFERROR(IF(Q140-Q139=1,"~",2),2),1))</f>
        <v/>
      </c>
      <c r="L139" s="313">
        <f>IF(K139="","",COUNTIF($K$4:K139,1))</f>
        <v/>
      </c>
      <c r="M139" s="313">
        <f>IF(K139="","",COUNTIF($K$4:K139,2))</f>
        <v/>
      </c>
      <c r="N139" s="826">
        <f>Q139</f>
        <v/>
      </c>
      <c r="O139" s="827">
        <f>K140</f>
        <v/>
      </c>
      <c r="P139" s="824">
        <f>IFERROR(VLOOKUP(1,$M$4:$N$17,2,FALSE),"")</f>
        <v/>
      </c>
      <c r="Q139" s="326">
        <f>IFERROR(VLOOKUP(R139,$A$4:$H$34,8,FALSE),"")</f>
        <v/>
      </c>
      <c r="R139" s="322" t="n">
        <v>18</v>
      </c>
    </row>
    <row r="140">
      <c r="K140" s="313">
        <f>IF(Q140="","",IF(Q140-Q139=1,IFERROR(IF(Q141-Q140=1,"~",2),2),1))</f>
        <v/>
      </c>
      <c r="L140" s="313">
        <f>IF(K140="","",COUNTIF($K$4:K140,1))</f>
        <v/>
      </c>
      <c r="M140" s="313">
        <f>IF(K140="","",COUNTIF($K$4:K140,2))</f>
        <v/>
      </c>
      <c r="N140" s="826">
        <f>Q140</f>
        <v/>
      </c>
      <c r="O140" s="827">
        <f>K141</f>
        <v/>
      </c>
      <c r="P140" s="824">
        <f>IFERROR(VLOOKUP(1,$M$4:$N$17,2,FALSE),"")</f>
        <v/>
      </c>
      <c r="Q140" s="326">
        <f>IFERROR(VLOOKUP(R140,$A$4:$H$34,8,FALSE),"")</f>
        <v/>
      </c>
      <c r="R140" s="322" t="n">
        <v>19</v>
      </c>
    </row>
    <row r="141">
      <c r="K141" s="313">
        <f>IF(Q141="","",IF(Q141-Q140=1,IFERROR(IF(Q142-Q141=1,"~",2),2),1))</f>
        <v/>
      </c>
      <c r="L141" s="313">
        <f>IF(K141="","",COUNTIF($K$4:K141,1))</f>
        <v/>
      </c>
      <c r="M141" s="313">
        <f>IF(K141="","",COUNTIF($K$4:K141,2))</f>
        <v/>
      </c>
      <c r="N141" s="826">
        <f>Q141</f>
        <v/>
      </c>
      <c r="O141" s="827">
        <f>K142</f>
        <v/>
      </c>
      <c r="P141" s="824">
        <f>IFERROR(VLOOKUP(1,$M$4:$N$17,2,FALSE),"")</f>
        <v/>
      </c>
      <c r="Q141" s="326">
        <f>IFERROR(VLOOKUP(R141,$A$4:$H$34,8,FALSE),"")</f>
        <v/>
      </c>
      <c r="R141" s="322" t="n">
        <v>20</v>
      </c>
    </row>
    <row r="142">
      <c r="K142" s="313">
        <f>IF(Q142="","",IF(Q142-Q141=1,IFERROR(IF(Q143-Q142=1,"~",2),2),1))</f>
        <v/>
      </c>
      <c r="L142" s="313">
        <f>IF(K142="","",COUNTIF($K$4:K142,1))</f>
        <v/>
      </c>
      <c r="M142" s="313">
        <f>IF(K142="","",COUNTIF($K$4:K142,2))</f>
        <v/>
      </c>
      <c r="N142" s="826">
        <f>Q142</f>
        <v/>
      </c>
      <c r="O142" s="827">
        <f>K143</f>
        <v/>
      </c>
      <c r="P142" s="824">
        <f>IFERROR(VLOOKUP(1,$M$4:$N$17,2,FALSE),"")</f>
        <v/>
      </c>
      <c r="Q142" s="326">
        <f>IFERROR(VLOOKUP(R142,$A$4:$H$34,8,FALSE),"")</f>
        <v/>
      </c>
      <c r="R142" s="322" t="n">
        <v>21</v>
      </c>
    </row>
    <row r="143">
      <c r="K143" s="313">
        <f>IF(Q143="","",IF(Q143-Q142=1,IFERROR(IF(Q144-Q143=1,"~",2),2),1))</f>
        <v/>
      </c>
      <c r="L143" s="313">
        <f>IF(K143="","",COUNTIF($K$4:K143,1))</f>
        <v/>
      </c>
      <c r="M143" s="313">
        <f>IF(K143="","",COUNTIF($K$4:K143,2))</f>
        <v/>
      </c>
      <c r="N143" s="826">
        <f>Q143</f>
        <v/>
      </c>
      <c r="O143" s="827">
        <f>K144</f>
        <v/>
      </c>
      <c r="P143" s="824">
        <f>IFERROR(VLOOKUP(1,$M$4:$N$17,2,FALSE),"")</f>
        <v/>
      </c>
      <c r="Q143" s="326">
        <f>IFERROR(VLOOKUP(R143,$A$4:$H$34,8,FALSE),"")</f>
        <v/>
      </c>
      <c r="R143" s="322" t="n">
        <v>22</v>
      </c>
    </row>
    <row r="144">
      <c r="K144" s="313">
        <f>IF(Q144="","",IF(Q144-Q143=1,IFERROR(IF(Q145-Q144=1,"~",2),2),1))</f>
        <v/>
      </c>
      <c r="L144" s="313">
        <f>IF(K144="","",COUNTIF($K$4:K144,1))</f>
        <v/>
      </c>
      <c r="M144" s="313">
        <f>IF(K144="","",COUNTIF($K$4:K144,2))</f>
        <v/>
      </c>
      <c r="N144" s="826">
        <f>Q144</f>
        <v/>
      </c>
      <c r="O144" s="827">
        <f>K145</f>
        <v/>
      </c>
      <c r="P144" s="824">
        <f>IFERROR(VLOOKUP(1,$M$4:$N$17,2,FALSE),"")</f>
        <v/>
      </c>
      <c r="Q144" s="326">
        <f>IFERROR(VLOOKUP(R144,$A$4:$H$34,8,FALSE),"")</f>
        <v/>
      </c>
      <c r="R144" s="322" t="n">
        <v>23</v>
      </c>
    </row>
    <row r="145">
      <c r="K145" s="313">
        <f>IF(Q145="","",IF(Q145-Q144=1,IFERROR(IF(Q146-Q145=1,"~",2),2),1))</f>
        <v/>
      </c>
      <c r="L145" s="313">
        <f>IF(K145="","",COUNTIF($K$4:K145,1))</f>
        <v/>
      </c>
      <c r="M145" s="313">
        <f>IF(K145="","",COUNTIF($K$4:K145,2))</f>
        <v/>
      </c>
      <c r="N145" s="826">
        <f>Q145</f>
        <v/>
      </c>
      <c r="O145" s="827">
        <f>K146</f>
        <v/>
      </c>
      <c r="P145" s="824">
        <f>IFERROR(VLOOKUP(1,$M$4:$N$17,2,FALSE),"")</f>
        <v/>
      </c>
      <c r="Q145" s="326">
        <f>IFERROR(VLOOKUP(R145,$A$4:$H$34,8,FALSE),"")</f>
        <v/>
      </c>
      <c r="R145" s="322" t="n">
        <v>24</v>
      </c>
    </row>
    <row r="146">
      <c r="K146" s="313">
        <f>IF(Q146="","",IF(Q146-Q145=1,IFERROR(IF(Q147-Q146=1,"~",2),2),1))</f>
        <v/>
      </c>
      <c r="L146" s="313">
        <f>IF(K146="","",COUNTIF($K$4:K146,1))</f>
        <v/>
      </c>
      <c r="M146" s="313">
        <f>IF(K146="","",COUNTIF($K$4:K146,2))</f>
        <v/>
      </c>
      <c r="N146" s="826">
        <f>Q146</f>
        <v/>
      </c>
      <c r="O146" s="827">
        <f>K147</f>
        <v/>
      </c>
      <c r="P146" s="824">
        <f>IFERROR(VLOOKUP(1,$M$4:$N$17,2,FALSE),"")</f>
        <v/>
      </c>
      <c r="Q146" s="326">
        <f>IFERROR(VLOOKUP(R146,$A$4:$H$34,8,FALSE),"")</f>
        <v/>
      </c>
      <c r="R146" s="322" t="n">
        <v>25</v>
      </c>
    </row>
    <row r="147">
      <c r="K147" s="313">
        <f>IF(Q147="","",IF(Q147-Q146=1,IFERROR(IF(Q148-Q147=1,"~",2),2),1))</f>
        <v/>
      </c>
      <c r="L147" s="313">
        <f>IF(K147="","",COUNTIF($K$4:K147,1))</f>
        <v/>
      </c>
      <c r="M147" s="313">
        <f>IF(K147="","",COUNTIF($K$4:K147,2))</f>
        <v/>
      </c>
      <c r="N147" s="826">
        <f>Q147</f>
        <v/>
      </c>
      <c r="O147" s="827">
        <f>K148</f>
        <v/>
      </c>
      <c r="P147" s="824">
        <f>IFERROR(VLOOKUP(1,$M$4:$N$17,2,FALSE),"")</f>
        <v/>
      </c>
      <c r="Q147" s="326">
        <f>IFERROR(VLOOKUP(R147,$A$4:$H$34,8,FALSE),"")</f>
        <v/>
      </c>
      <c r="R147" s="322" t="n">
        <v>26</v>
      </c>
    </row>
    <row r="148">
      <c r="K148" s="313">
        <f>IF(Q148="","",IF(Q148-Q147=1,IFERROR(IF(Q149-Q148=1,"~",2),2),1))</f>
        <v/>
      </c>
      <c r="L148" s="313">
        <f>IF(K148="","",COUNTIF($K$4:K148,1))</f>
        <v/>
      </c>
      <c r="M148" s="313">
        <f>IF(K148="","",COUNTIF($K$4:K148,2))</f>
        <v/>
      </c>
      <c r="N148" s="826">
        <f>Q148</f>
        <v/>
      </c>
      <c r="O148" s="827">
        <f>K149</f>
        <v/>
      </c>
      <c r="P148" s="824">
        <f>IFERROR(VLOOKUP(1,$M$4:$N$17,2,FALSE),"")</f>
        <v/>
      </c>
      <c r="Q148" s="326">
        <f>IFERROR(VLOOKUP(R148,$A$4:$H$34,8,FALSE),"")</f>
        <v/>
      </c>
      <c r="R148" s="322" t="n">
        <v>27</v>
      </c>
    </row>
    <row r="149">
      <c r="K149" s="313">
        <f>IF(Q149="","",IF(Q149-Q148=1,IFERROR(IF(Q150-Q149=1,"~",2),2),1))</f>
        <v/>
      </c>
      <c r="L149" s="313">
        <f>IF(K149="","",COUNTIF($K$4:K149,1))</f>
        <v/>
      </c>
      <c r="M149" s="313">
        <f>IF(K149="","",COUNTIF($K$4:K149,2))</f>
        <v/>
      </c>
      <c r="N149" s="826">
        <f>Q149</f>
        <v/>
      </c>
      <c r="O149" s="827">
        <f>K150</f>
        <v/>
      </c>
      <c r="P149" s="824">
        <f>IFERROR(VLOOKUP(1,$M$4:$N$17,2,FALSE),"")</f>
        <v/>
      </c>
      <c r="Q149" s="326">
        <f>IFERROR(VLOOKUP(R149,$A$4:$H$34,8,FALSE),"")</f>
        <v/>
      </c>
      <c r="R149" s="322" t="n">
        <v>28</v>
      </c>
    </row>
    <row r="150">
      <c r="K150" s="313">
        <f>IF(Q150="","",IF(Q150-Q149=1,IFERROR(IF(Q151-Q150=1,"~",2),2),1))</f>
        <v/>
      </c>
      <c r="L150" s="313">
        <f>IF(K150="","",COUNTIF($K$4:K150,1))</f>
        <v/>
      </c>
      <c r="M150" s="313">
        <f>IF(K150="","",COUNTIF($K$4:K150,2))</f>
        <v/>
      </c>
      <c r="N150" s="826">
        <f>Q150</f>
        <v/>
      </c>
      <c r="O150" s="827">
        <f>K151</f>
        <v/>
      </c>
      <c r="P150" s="824">
        <f>IFERROR(VLOOKUP(1,$M$4:$N$17,2,FALSE),"")</f>
        <v/>
      </c>
      <c r="Q150" s="326">
        <f>IFERROR(VLOOKUP(R150,$A$4:$H$34,8,FALSE),"")</f>
        <v/>
      </c>
      <c r="R150" s="322" t="n">
        <v>29</v>
      </c>
    </row>
    <row r="151">
      <c r="K151" s="313">
        <f>IF(Q151="","",IF(Q151-Q150=1,IFERROR(IF(Q152-Q151=1,"~",2),2),1))</f>
        <v/>
      </c>
      <c r="L151" s="313">
        <f>IF(K151="","",COUNTIF($K$4:K151,1))</f>
        <v/>
      </c>
      <c r="M151" s="313">
        <f>IF(K151="","",COUNTIF($K$4:K151,2))</f>
        <v/>
      </c>
      <c r="N151" s="826">
        <f>Q151</f>
        <v/>
      </c>
      <c r="O151" s="827">
        <f>K152</f>
        <v/>
      </c>
      <c r="P151" s="824">
        <f>IFERROR(VLOOKUP(1,$M$4:$N$17,2,FALSE),"")</f>
        <v/>
      </c>
      <c r="Q151" s="326">
        <f>IFERROR(VLOOKUP(R151,$A$4:$H$34,8,FALSE),"")</f>
        <v/>
      </c>
      <c r="R151" s="322" t="n">
        <v>30</v>
      </c>
    </row>
    <row r="152">
      <c r="K152" s="313">
        <f>IF(Q152="","",IF(Q152-Q151=1,IFERROR(IF(Q153-Q152=1,"~",2),2),1))</f>
        <v/>
      </c>
      <c r="L152" s="313">
        <f>IF(K152="","",COUNTIF($K$4:K152,1))</f>
        <v/>
      </c>
      <c r="M152" s="313">
        <f>IF(K152="","",COUNTIF($K$4:K152,2))</f>
        <v/>
      </c>
      <c r="N152" s="826">
        <f>Q152</f>
        <v/>
      </c>
      <c r="O152" s="827">
        <f>K153</f>
        <v/>
      </c>
      <c r="P152" s="824">
        <f>IFERROR(VLOOKUP(1,$M$4:$N$17,2,FALSE),"")</f>
        <v/>
      </c>
      <c r="Q152" s="326">
        <f>IFERROR(VLOOKUP(R152,$A$4:$H$34,8,FALSE),"")</f>
        <v/>
      </c>
      <c r="R152" s="322" t="n">
        <v>31</v>
      </c>
    </row>
  </sheetData>
  <pageMargins left="0.7" right="0.7" top="0.75" bottom="0.75" header="0.3" footer="0.3"/>
</worksheet>
</file>

<file path=xl/worksheets/sheet9.xml><?xml version="1.0" encoding="utf-8"?>
<worksheet xmlns="http://schemas.openxmlformats.org/spreadsheetml/2006/main">
  <sheetPr codeName="Sheet6">
    <outlinePr summaryBelow="1" summaryRight="1"/>
    <pageSetUpPr/>
  </sheetPr>
  <dimension ref="A1:B53"/>
  <sheetViews>
    <sheetView zoomScale="115" zoomScaleNormal="115" workbookViewId="0">
      <selection activeCell="A2" sqref="A1:B1048576"/>
    </sheetView>
  </sheetViews>
  <sheetFormatPr baseColWidth="8" defaultColWidth="11.5" defaultRowHeight="13.5"/>
  <cols>
    <col width="15.5" customWidth="1" style="463" min="1" max="1"/>
    <col width="14" bestFit="1" customWidth="1" style="464" min="2" max="2"/>
    <col width="11.5" customWidth="1" style="91" min="3" max="4"/>
    <col width="11.875" customWidth="1" style="91" min="5" max="6"/>
    <col width="11.5" customWidth="1" style="91" min="7" max="16384"/>
  </cols>
  <sheetData>
    <row r="1" ht="15" customHeight="1" s="643">
      <c r="A1" s="642" t="inlineStr">
        <is>
          <t>祝日リスト</t>
        </is>
      </c>
      <c r="B1" s="830" t="n"/>
    </row>
    <row r="2" ht="14.25" customHeight="1" s="643">
      <c r="A2" s="457" t="inlineStr">
        <is>
          <t>2020年～</t>
        </is>
      </c>
      <c r="B2" s="458" t="n"/>
    </row>
    <row r="3" ht="14.25" customHeight="1" s="643">
      <c r="A3" s="459" t="inlineStr">
        <is>
          <t>元日</t>
        </is>
      </c>
      <c r="B3" s="460" t="n">
        <v>43831</v>
      </c>
    </row>
    <row r="4" ht="14.25" customHeight="1" s="643">
      <c r="A4" s="459" t="inlineStr">
        <is>
          <t>成人の日</t>
        </is>
      </c>
      <c r="B4" s="460" t="n">
        <v>43843</v>
      </c>
    </row>
    <row r="5" ht="14.25" customHeight="1" s="643">
      <c r="A5" s="459" t="inlineStr">
        <is>
          <t>建国記念の日</t>
        </is>
      </c>
      <c r="B5" s="460" t="n">
        <v>43872</v>
      </c>
    </row>
    <row r="6" ht="14.25" customHeight="1" s="643">
      <c r="A6" s="459" t="inlineStr">
        <is>
          <t>天皇誕生日</t>
        </is>
      </c>
      <c r="B6" s="460" t="n">
        <v>43884</v>
      </c>
    </row>
    <row r="7" ht="14.25" customHeight="1" s="643">
      <c r="A7" s="459" t="inlineStr">
        <is>
          <t>振替休日</t>
        </is>
      </c>
      <c r="B7" s="460" t="n">
        <v>43885</v>
      </c>
    </row>
    <row r="8" ht="14.25" customHeight="1" s="643">
      <c r="A8" s="461" t="inlineStr">
        <is>
          <t>春分の日</t>
        </is>
      </c>
      <c r="B8" s="460" t="n">
        <v>43910</v>
      </c>
    </row>
    <row r="9" ht="14.25" customHeight="1" s="643">
      <c r="A9" s="461" t="inlineStr">
        <is>
          <t>昭和の日</t>
        </is>
      </c>
      <c r="B9" s="460" t="n">
        <v>43950</v>
      </c>
    </row>
    <row r="10" ht="14.25" customHeight="1" s="643">
      <c r="A10" s="459" t="inlineStr">
        <is>
          <t>憲法記念日</t>
        </is>
      </c>
      <c r="B10" s="460" t="n">
        <v>43954</v>
      </c>
    </row>
    <row r="11" ht="14.25" customHeight="1" s="643">
      <c r="A11" s="459" t="inlineStr">
        <is>
          <t>みどりの日</t>
        </is>
      </c>
      <c r="B11" s="460" t="n">
        <v>43955</v>
      </c>
    </row>
    <row r="12" ht="14.25" customHeight="1" s="643">
      <c r="A12" s="459" t="inlineStr">
        <is>
          <t>こどもの日</t>
        </is>
      </c>
      <c r="B12" s="460" t="n">
        <v>43956</v>
      </c>
    </row>
    <row r="13" ht="14.25" customHeight="1" s="643">
      <c r="A13" s="459" t="inlineStr">
        <is>
          <t>振替休日</t>
        </is>
      </c>
      <c r="B13" s="460" t="n">
        <v>43957</v>
      </c>
    </row>
    <row r="14" ht="14.25" customHeight="1" s="643">
      <c r="A14" s="459" t="inlineStr">
        <is>
          <t>海の日</t>
        </is>
      </c>
      <c r="B14" s="460" t="n">
        <v>44035</v>
      </c>
    </row>
    <row r="15" ht="14.25" customHeight="1" s="643">
      <c r="A15" s="459" t="inlineStr">
        <is>
          <t>スポーツの日</t>
        </is>
      </c>
      <c r="B15" s="460" t="n">
        <v>44036</v>
      </c>
    </row>
    <row r="16" ht="14.25" customHeight="1" s="643">
      <c r="A16" s="459" t="inlineStr">
        <is>
          <t>山の日</t>
        </is>
      </c>
      <c r="B16" s="460" t="n">
        <v>44053</v>
      </c>
    </row>
    <row r="17" ht="14.25" customHeight="1" s="643">
      <c r="A17" s="459" t="inlineStr">
        <is>
          <t>敬老の日</t>
        </is>
      </c>
      <c r="B17" s="460" t="n">
        <v>44095</v>
      </c>
    </row>
    <row r="18" ht="14.25" customHeight="1" s="643">
      <c r="A18" s="459" t="inlineStr">
        <is>
          <t>秋分の日</t>
        </is>
      </c>
      <c r="B18" s="460" t="n">
        <v>44096</v>
      </c>
    </row>
    <row r="19" ht="14.25" customHeight="1" s="643">
      <c r="A19" s="459" t="inlineStr">
        <is>
          <t>文化の日</t>
        </is>
      </c>
      <c r="B19" s="460" t="n">
        <v>44138</v>
      </c>
    </row>
    <row r="20" ht="14.25" customHeight="1" s="643">
      <c r="A20" s="459" t="inlineStr">
        <is>
          <t>勤労感謝の日</t>
        </is>
      </c>
      <c r="B20" s="460" t="n">
        <v>44158</v>
      </c>
    </row>
    <row r="21" ht="14.25" customHeight="1" s="643">
      <c r="A21" s="459" t="inlineStr">
        <is>
          <t>元日</t>
        </is>
      </c>
      <c r="B21" s="460" t="n">
        <v>44197</v>
      </c>
    </row>
    <row r="22" ht="14.25" customHeight="1" s="643">
      <c r="A22" s="459" t="inlineStr">
        <is>
          <t>成人の日</t>
        </is>
      </c>
      <c r="B22" s="460" t="n">
        <v>44207</v>
      </c>
    </row>
    <row r="23" ht="14.25" customHeight="1" s="643">
      <c r="A23" s="459" t="inlineStr">
        <is>
          <t>建国記念の日</t>
        </is>
      </c>
      <c r="B23" s="460" t="n">
        <v>44238</v>
      </c>
    </row>
    <row r="24" ht="14.25" customHeight="1" s="643">
      <c r="A24" s="462" t="inlineStr">
        <is>
          <t>天皇誕生日</t>
        </is>
      </c>
      <c r="B24" s="460" t="n">
        <v>44250</v>
      </c>
    </row>
    <row r="25" ht="14.25" customHeight="1" s="643">
      <c r="A25" s="459" t="inlineStr">
        <is>
          <t>春分の日</t>
        </is>
      </c>
      <c r="B25" s="460" t="n">
        <v>44275</v>
      </c>
    </row>
    <row r="26" ht="14.25" customHeight="1" s="643">
      <c r="A26" s="459" t="inlineStr">
        <is>
          <t>昭和の日</t>
        </is>
      </c>
      <c r="B26" s="460" t="n">
        <v>44315</v>
      </c>
    </row>
    <row r="27" ht="14.25" customHeight="1" s="643">
      <c r="A27" s="457" t="inlineStr">
        <is>
          <t>2021年～</t>
        </is>
      </c>
      <c r="B27" s="458" t="n"/>
    </row>
    <row r="28">
      <c r="A28" s="463" t="inlineStr">
        <is>
          <t>憲法記念日</t>
        </is>
      </c>
      <c r="B28" s="464" t="n">
        <v>44319</v>
      </c>
    </row>
    <row r="29">
      <c r="A29" s="463" t="inlineStr">
        <is>
          <t>みどりの日</t>
        </is>
      </c>
      <c r="B29" s="464" t="n">
        <v>44320</v>
      </c>
    </row>
    <row r="30">
      <c r="A30" s="463" t="inlineStr">
        <is>
          <t>こどもの日</t>
        </is>
      </c>
      <c r="B30" s="464" t="n">
        <v>44321</v>
      </c>
    </row>
    <row r="31">
      <c r="A31" s="463" t="inlineStr">
        <is>
          <t>海の日</t>
        </is>
      </c>
      <c r="B31" s="464" t="n">
        <v>44396</v>
      </c>
    </row>
    <row r="32">
      <c r="A32" s="463" t="inlineStr">
        <is>
          <t>山の日</t>
        </is>
      </c>
      <c r="B32" s="464" t="n">
        <v>44419</v>
      </c>
    </row>
    <row r="33">
      <c r="A33" s="463" t="inlineStr">
        <is>
          <t>敬老の日</t>
        </is>
      </c>
      <c r="B33" s="464" t="n">
        <v>44459</v>
      </c>
    </row>
    <row r="34">
      <c r="A34" s="463" t="inlineStr">
        <is>
          <t>秋分の日</t>
        </is>
      </c>
      <c r="B34" s="464" t="n">
        <v>44462</v>
      </c>
    </row>
    <row r="35">
      <c r="A35" s="463" t="inlineStr">
        <is>
          <t>スポーツの日</t>
        </is>
      </c>
      <c r="B35" s="464" t="n">
        <v>44480</v>
      </c>
    </row>
    <row r="36">
      <c r="A36" s="463" t="inlineStr">
        <is>
          <t>文化の日</t>
        </is>
      </c>
      <c r="B36" s="464" t="n">
        <v>44503</v>
      </c>
    </row>
    <row r="37">
      <c r="A37" s="463" t="inlineStr">
        <is>
          <t>勤労感謝の日</t>
        </is>
      </c>
      <c r="B37" s="464" t="n">
        <v>44523</v>
      </c>
    </row>
    <row r="38">
      <c r="A38" s="463" t="inlineStr">
        <is>
          <t>元日</t>
        </is>
      </c>
      <c r="B38" s="464" t="n">
        <v>44562</v>
      </c>
    </row>
    <row r="39">
      <c r="A39" s="463" t="inlineStr">
        <is>
          <t>成人の日</t>
        </is>
      </c>
      <c r="B39" s="464" t="n">
        <v>44571</v>
      </c>
    </row>
    <row r="40">
      <c r="A40" s="463" t="inlineStr">
        <is>
          <t>建国記念の日</t>
        </is>
      </c>
      <c r="B40" s="464" t="n">
        <v>44603</v>
      </c>
    </row>
    <row r="41">
      <c r="A41" s="463" t="inlineStr">
        <is>
          <t>天皇誕生日</t>
        </is>
      </c>
      <c r="B41" s="464" t="n">
        <v>44615</v>
      </c>
    </row>
    <row r="42">
      <c r="A42" s="463" t="inlineStr">
        <is>
          <t>春分の日</t>
        </is>
      </c>
      <c r="B42" s="464" t="n">
        <v>44641</v>
      </c>
    </row>
    <row r="43">
      <c r="A43" s="463" t="inlineStr">
        <is>
          <t>昭和の日</t>
        </is>
      </c>
      <c r="B43" s="464" t="n">
        <v>44680</v>
      </c>
    </row>
    <row r="44">
      <c r="A44" s="463" t="inlineStr">
        <is>
          <t>憲法記念日</t>
        </is>
      </c>
      <c r="B44" s="464" t="n">
        <v>44684</v>
      </c>
    </row>
    <row r="45">
      <c r="A45" s="463" t="inlineStr">
        <is>
          <t>みどりの日</t>
        </is>
      </c>
      <c r="B45" s="464" t="n">
        <v>44685</v>
      </c>
    </row>
    <row r="46">
      <c r="A46" s="463" t="inlineStr">
        <is>
          <t>こどもの日</t>
        </is>
      </c>
      <c r="B46" s="464" t="n">
        <v>44686</v>
      </c>
    </row>
    <row r="47">
      <c r="A47" s="463" t="inlineStr">
        <is>
          <t>海の日</t>
        </is>
      </c>
      <c r="B47" s="464" t="n">
        <v>44760</v>
      </c>
    </row>
    <row r="48">
      <c r="A48" s="463" t="inlineStr">
        <is>
          <t>山の日</t>
        </is>
      </c>
      <c r="B48" s="464" t="n">
        <v>44784</v>
      </c>
    </row>
    <row r="49">
      <c r="A49" s="463" t="inlineStr">
        <is>
          <t>敬老の日</t>
        </is>
      </c>
      <c r="B49" s="464" t="n">
        <v>44823</v>
      </c>
    </row>
    <row r="50">
      <c r="A50" s="463" t="inlineStr">
        <is>
          <t>秋分の日</t>
        </is>
      </c>
      <c r="B50" s="464" t="n">
        <v>44827</v>
      </c>
    </row>
    <row r="51">
      <c r="A51" s="463" t="inlineStr">
        <is>
          <t>スポーツの日</t>
        </is>
      </c>
      <c r="B51" s="464" t="n">
        <v>44844</v>
      </c>
    </row>
    <row r="52">
      <c r="A52" s="463" t="inlineStr">
        <is>
          <t>文化の日</t>
        </is>
      </c>
      <c r="B52" s="464" t="n">
        <v>44868</v>
      </c>
    </row>
    <row r="53">
      <c r="A53" s="463" t="inlineStr">
        <is>
          <t>勤労感謝の日</t>
        </is>
      </c>
      <c r="B53" s="464" t="n">
        <v>44888</v>
      </c>
    </row>
  </sheetData>
  <mergeCells count="1">
    <mergeCell ref="A1:B1"/>
  </mergeCells>
  <pageMargins left="0.7" right="0.7" top="0.75" bottom="0.75" header="0.3" footer="0.3"/>
  <pageSetup orientation="portrait" paperSize="9" verticalDpi="0"/>
</worksheet>
</file>

<file path=xl/worksheets/sheet10.xml><?xml version="1.0" encoding="utf-8"?>
<worksheet xmlns="http://schemas.openxmlformats.org/spreadsheetml/2006/main">
  <sheetPr codeName="Sheet2">
    <outlinePr summaryBelow="1" summaryRight="1"/>
    <pageSetUpPr/>
  </sheetPr>
  <dimension ref="A1:F103"/>
  <sheetViews>
    <sheetView workbookViewId="0">
      <selection activeCell="C24" sqref="C24:D24"/>
    </sheetView>
  </sheetViews>
  <sheetFormatPr baseColWidth="8" defaultColWidth="9" defaultRowHeight="13.5"/>
  <cols>
    <col width="1.875" customWidth="1" style="30" min="1" max="1"/>
    <col width="13.125" customWidth="1" style="30" min="2" max="2"/>
    <col width="2" customWidth="1" style="30" min="3" max="3"/>
    <col width="12.125" customWidth="1" style="30" min="4" max="4"/>
    <col width="2" customWidth="1" style="30" min="5" max="5"/>
    <col width="37.875" customWidth="1" style="30" min="6" max="6"/>
    <col width="9" customWidth="1" style="30" min="7" max="16384"/>
  </cols>
  <sheetData>
    <row r="1" ht="14.25" customHeight="1" s="643">
      <c r="A1" s="31" t="inlineStr">
        <is>
          <t>[基本情報設定]</t>
        </is>
      </c>
    </row>
    <row r="2" ht="13.5" customHeight="1" s="643">
      <c r="A2" s="31" t="n"/>
    </row>
    <row r="3">
      <c r="B3" s="32" t="inlineStr">
        <is>
          <t>交通機関リスト</t>
        </is>
      </c>
      <c r="D3" s="32" t="inlineStr">
        <is>
          <t>発着地リスト</t>
        </is>
      </c>
      <c r="F3" s="32" t="inlineStr">
        <is>
          <t>用件リスト</t>
        </is>
      </c>
    </row>
    <row r="4">
      <c r="B4" s="28" t="inlineStr">
        <is>
          <t>電車</t>
        </is>
      </c>
      <c r="D4" s="28" t="inlineStr">
        <is>
          <t>自社</t>
        </is>
      </c>
      <c r="F4" s="28" t="inlineStr">
        <is>
          <t>打ち合わせ</t>
        </is>
      </c>
    </row>
    <row r="5">
      <c r="B5" s="29" t="inlineStr">
        <is>
          <t>地下鉄</t>
        </is>
      </c>
      <c r="D5" s="29" t="inlineStr">
        <is>
          <t>相手会社</t>
        </is>
      </c>
      <c r="F5" s="29" t="inlineStr">
        <is>
          <t>定期訪問</t>
        </is>
      </c>
    </row>
    <row r="6">
      <c r="B6" s="29" t="inlineStr">
        <is>
          <t>バス</t>
        </is>
      </c>
      <c r="D6" s="29" t="inlineStr">
        <is>
          <t>東京</t>
        </is>
      </c>
      <c r="F6" s="29" t="n"/>
    </row>
    <row r="7">
      <c r="B7" s="29" t="n"/>
      <c r="D7" s="29" t="inlineStr">
        <is>
          <t>大阪</t>
        </is>
      </c>
      <c r="F7" s="29" t="n"/>
    </row>
    <row r="8">
      <c r="B8" s="29" t="n"/>
      <c r="D8" s="29" t="n"/>
      <c r="F8" s="29" t="n"/>
    </row>
    <row r="9">
      <c r="B9" s="29" t="n"/>
      <c r="D9" s="29" t="n"/>
      <c r="F9" s="29" t="n"/>
    </row>
    <row r="10">
      <c r="B10" s="29" t="n"/>
      <c r="D10" s="29" t="n"/>
      <c r="F10" s="29" t="n"/>
    </row>
    <row r="11">
      <c r="B11" s="29" t="n"/>
      <c r="D11" s="29" t="n"/>
      <c r="F11" s="29" t="n"/>
    </row>
    <row r="12">
      <c r="B12" s="29" t="n"/>
      <c r="D12" s="29" t="n"/>
      <c r="F12" s="29" t="n"/>
    </row>
    <row r="13">
      <c r="B13" s="29" t="n"/>
      <c r="D13" s="29" t="n"/>
      <c r="F13" s="29" t="n"/>
    </row>
    <row r="14">
      <c r="B14" s="29" t="n"/>
      <c r="D14" s="29" t="n"/>
      <c r="F14" s="29" t="n"/>
    </row>
    <row r="15">
      <c r="B15" s="29" t="n"/>
      <c r="D15" s="29" t="n"/>
      <c r="F15" s="29" t="n"/>
    </row>
    <row r="16">
      <c r="B16" s="29" t="n"/>
      <c r="D16" s="29" t="n"/>
      <c r="F16" s="29" t="n"/>
    </row>
    <row r="17">
      <c r="B17" s="29" t="n"/>
      <c r="D17" s="29" t="n"/>
      <c r="F17" s="29" t="n"/>
    </row>
    <row r="18">
      <c r="B18" s="29" t="n"/>
      <c r="D18" s="29" t="n"/>
      <c r="F18" s="29" t="n"/>
    </row>
    <row r="19">
      <c r="B19" s="29" t="n"/>
      <c r="D19" s="29" t="n"/>
      <c r="F19" s="29" t="n"/>
    </row>
    <row r="20">
      <c r="B20" s="29" t="n"/>
      <c r="D20" s="29" t="n"/>
      <c r="F20" s="29" t="n"/>
    </row>
    <row r="21">
      <c r="B21" s="29" t="n"/>
      <c r="D21" s="29" t="n"/>
      <c r="F21" s="29" t="n"/>
    </row>
    <row r="22">
      <c r="B22" s="29" t="n"/>
      <c r="D22" s="29" t="n"/>
      <c r="F22" s="29" t="n"/>
    </row>
    <row r="23">
      <c r="B23" s="29" t="n"/>
      <c r="D23" s="29" t="n"/>
      <c r="F23" s="29" t="n"/>
    </row>
    <row r="24">
      <c r="B24" s="29" t="n"/>
      <c r="D24" s="29" t="n"/>
      <c r="F24" s="29" t="n"/>
    </row>
    <row r="25">
      <c r="B25" s="29" t="n"/>
      <c r="D25" s="29" t="n"/>
      <c r="F25" s="29" t="n"/>
    </row>
    <row r="26">
      <c r="B26" s="29" t="n"/>
      <c r="D26" s="29" t="n"/>
      <c r="F26" s="29" t="n"/>
    </row>
    <row r="27">
      <c r="B27" s="29" t="n"/>
      <c r="D27" s="29" t="n"/>
      <c r="F27" s="29" t="n"/>
    </row>
    <row r="28">
      <c r="B28" s="29" t="n"/>
      <c r="D28" s="29" t="n"/>
      <c r="F28" s="29" t="n"/>
    </row>
    <row r="29">
      <c r="B29" s="29" t="n"/>
      <c r="D29" s="29" t="n"/>
      <c r="F29" s="29" t="n"/>
    </row>
    <row r="30">
      <c r="B30" s="29" t="n"/>
      <c r="D30" s="29" t="n"/>
      <c r="F30" s="29" t="n"/>
    </row>
    <row r="31">
      <c r="B31" s="29" t="n"/>
      <c r="D31" s="29" t="n"/>
      <c r="F31" s="29" t="n"/>
    </row>
    <row r="32">
      <c r="B32" s="29" t="n"/>
      <c r="D32" s="29" t="n"/>
      <c r="F32" s="29" t="n"/>
    </row>
    <row r="33">
      <c r="B33" s="29" t="n"/>
      <c r="D33" s="29" t="n"/>
      <c r="F33" s="29" t="n"/>
    </row>
    <row r="34">
      <c r="B34" s="29" t="n"/>
      <c r="D34" s="29" t="n"/>
      <c r="F34" s="29" t="n"/>
    </row>
    <row r="35">
      <c r="B35" s="29" t="n"/>
      <c r="D35" s="29" t="n"/>
      <c r="F35" s="29" t="n"/>
    </row>
    <row r="36">
      <c r="B36" s="29" t="n"/>
      <c r="D36" s="29" t="n"/>
      <c r="F36" s="29" t="n"/>
    </row>
    <row r="37">
      <c r="B37" s="29" t="n"/>
      <c r="D37" s="29" t="n"/>
      <c r="F37" s="29" t="n"/>
    </row>
    <row r="38">
      <c r="B38" s="29" t="n"/>
      <c r="D38" s="29" t="n"/>
      <c r="F38" s="29" t="n"/>
    </row>
    <row r="39">
      <c r="B39" s="29" t="n"/>
      <c r="D39" s="29" t="n"/>
      <c r="F39" s="29" t="n"/>
    </row>
    <row r="40">
      <c r="B40" s="29" t="n"/>
      <c r="D40" s="29" t="n"/>
      <c r="F40" s="29" t="n"/>
    </row>
    <row r="41">
      <c r="B41" s="29" t="n"/>
      <c r="D41" s="29" t="n"/>
      <c r="F41" s="29" t="n"/>
    </row>
    <row r="42">
      <c r="B42" s="29" t="n"/>
      <c r="D42" s="29" t="n"/>
      <c r="F42" s="29" t="n"/>
    </row>
    <row r="43">
      <c r="B43" s="29" t="n"/>
      <c r="D43" s="29" t="n"/>
      <c r="F43" s="29" t="n"/>
    </row>
    <row r="44">
      <c r="B44" s="29" t="n"/>
      <c r="D44" s="29" t="n"/>
      <c r="F44" s="29" t="n"/>
    </row>
    <row r="45">
      <c r="B45" s="29" t="n"/>
      <c r="D45" s="29" t="n"/>
      <c r="F45" s="29" t="n"/>
    </row>
    <row r="46">
      <c r="B46" s="29" t="n"/>
      <c r="D46" s="29" t="n"/>
      <c r="F46" s="29" t="n"/>
    </row>
    <row r="47">
      <c r="B47" s="29" t="n"/>
      <c r="D47" s="29" t="n"/>
      <c r="F47" s="29" t="n"/>
    </row>
    <row r="48">
      <c r="B48" s="29" t="n"/>
      <c r="D48" s="29" t="n"/>
      <c r="F48" s="29" t="n"/>
    </row>
    <row r="49">
      <c r="B49" s="29" t="n"/>
      <c r="D49" s="29" t="n"/>
      <c r="F49" s="29" t="n"/>
    </row>
    <row r="50">
      <c r="B50" s="29" t="n"/>
      <c r="D50" s="29" t="n"/>
      <c r="F50" s="29" t="n"/>
    </row>
    <row r="51">
      <c r="B51" s="29" t="n"/>
      <c r="D51" s="29" t="n"/>
      <c r="F51" s="29" t="n"/>
    </row>
    <row r="52">
      <c r="B52" s="29" t="n"/>
      <c r="D52" s="29" t="n"/>
      <c r="F52" s="29" t="n"/>
    </row>
    <row r="53">
      <c r="B53" s="29" t="n"/>
      <c r="D53" s="29" t="n"/>
      <c r="F53" s="29" t="n"/>
    </row>
    <row r="54">
      <c r="B54" s="29" t="n"/>
      <c r="D54" s="29" t="n"/>
      <c r="F54" s="29" t="n"/>
    </row>
    <row r="55">
      <c r="B55" s="29" t="n"/>
      <c r="D55" s="29" t="n"/>
      <c r="F55" s="29" t="n"/>
    </row>
    <row r="56">
      <c r="B56" s="29" t="n"/>
      <c r="D56" s="29" t="n"/>
      <c r="F56" s="29" t="n"/>
    </row>
    <row r="57">
      <c r="B57" s="29" t="n"/>
      <c r="D57" s="29" t="n"/>
      <c r="F57" s="29" t="n"/>
    </row>
    <row r="58">
      <c r="B58" s="29" t="n"/>
      <c r="D58" s="29" t="n"/>
      <c r="F58" s="29" t="n"/>
    </row>
    <row r="59">
      <c r="B59" s="29" t="n"/>
      <c r="D59" s="29" t="n"/>
      <c r="F59" s="29" t="n"/>
    </row>
    <row r="60">
      <c r="B60" s="29" t="n"/>
      <c r="D60" s="29" t="n"/>
      <c r="F60" s="29" t="n"/>
    </row>
    <row r="61">
      <c r="B61" s="29" t="n"/>
      <c r="D61" s="29" t="n"/>
      <c r="F61" s="29" t="n"/>
    </row>
    <row r="62">
      <c r="B62" s="29" t="n"/>
      <c r="D62" s="29" t="n"/>
      <c r="F62" s="29" t="n"/>
    </row>
    <row r="63">
      <c r="B63" s="29" t="n"/>
      <c r="D63" s="29" t="n"/>
      <c r="F63" s="29" t="n"/>
    </row>
    <row r="64">
      <c r="B64" s="29" t="n"/>
      <c r="D64" s="29" t="n"/>
      <c r="F64" s="29" t="n"/>
    </row>
    <row r="65">
      <c r="B65" s="29" t="n"/>
      <c r="D65" s="29" t="n"/>
      <c r="F65" s="29" t="n"/>
    </row>
    <row r="66">
      <c r="B66" s="29" t="n"/>
      <c r="D66" s="29" t="n"/>
      <c r="F66" s="29" t="n"/>
    </row>
    <row r="67">
      <c r="B67" s="29" t="n"/>
      <c r="D67" s="29" t="n"/>
      <c r="F67" s="29" t="n"/>
    </row>
    <row r="68">
      <c r="B68" s="29" t="n"/>
      <c r="D68" s="29" t="n"/>
      <c r="F68" s="29" t="n"/>
    </row>
    <row r="69">
      <c r="B69" s="29" t="n"/>
      <c r="D69" s="29" t="n"/>
      <c r="F69" s="29" t="n"/>
    </row>
    <row r="70">
      <c r="B70" s="29" t="n"/>
      <c r="D70" s="29" t="n"/>
      <c r="F70" s="29" t="n"/>
    </row>
    <row r="71">
      <c r="B71" s="29" t="n"/>
      <c r="D71" s="29" t="n"/>
      <c r="F71" s="29" t="n"/>
    </row>
    <row r="72">
      <c r="B72" s="29" t="n"/>
      <c r="D72" s="29" t="n"/>
      <c r="F72" s="29" t="n"/>
    </row>
    <row r="73">
      <c r="B73" s="29" t="n"/>
      <c r="D73" s="29" t="n"/>
      <c r="F73" s="29" t="n"/>
    </row>
    <row r="74">
      <c r="B74" s="29" t="n"/>
      <c r="D74" s="29" t="n"/>
      <c r="F74" s="29" t="n"/>
    </row>
    <row r="75">
      <c r="B75" s="29" t="n"/>
      <c r="D75" s="29" t="n"/>
      <c r="F75" s="29" t="n"/>
    </row>
    <row r="76">
      <c r="B76" s="29" t="n"/>
      <c r="D76" s="29" t="n"/>
      <c r="F76" s="29" t="n"/>
    </row>
    <row r="77">
      <c r="B77" s="29" t="n"/>
      <c r="D77" s="29" t="n"/>
      <c r="F77" s="29" t="n"/>
    </row>
    <row r="78">
      <c r="B78" s="29" t="n"/>
      <c r="D78" s="29" t="n"/>
      <c r="F78" s="29" t="n"/>
    </row>
    <row r="79">
      <c r="B79" s="29" t="n"/>
      <c r="D79" s="29" t="n"/>
      <c r="F79" s="29" t="n"/>
    </row>
    <row r="80">
      <c r="B80" s="29" t="n"/>
      <c r="D80" s="29" t="n"/>
      <c r="F80" s="29" t="n"/>
    </row>
    <row r="81">
      <c r="B81" s="29" t="n"/>
      <c r="D81" s="29" t="n"/>
      <c r="F81" s="29" t="n"/>
    </row>
    <row r="82">
      <c r="B82" s="29" t="n"/>
      <c r="D82" s="29" t="n"/>
      <c r="F82" s="29" t="n"/>
    </row>
    <row r="83">
      <c r="B83" s="29" t="n"/>
      <c r="D83" s="29" t="n"/>
      <c r="F83" s="29" t="n"/>
    </row>
    <row r="84">
      <c r="B84" s="29" t="n"/>
      <c r="D84" s="29" t="n"/>
      <c r="F84" s="29" t="n"/>
    </row>
    <row r="85">
      <c r="B85" s="29" t="n"/>
      <c r="D85" s="29" t="n"/>
      <c r="F85" s="29" t="n"/>
    </row>
    <row r="86">
      <c r="B86" s="29" t="n"/>
      <c r="D86" s="29" t="n"/>
      <c r="F86" s="29" t="n"/>
    </row>
    <row r="87">
      <c r="B87" s="29" t="n"/>
      <c r="D87" s="29" t="n"/>
      <c r="F87" s="29" t="n"/>
    </row>
    <row r="88">
      <c r="B88" s="29" t="n"/>
      <c r="D88" s="29" t="n"/>
      <c r="F88" s="29" t="n"/>
    </row>
    <row r="89">
      <c r="B89" s="29" t="n"/>
      <c r="D89" s="29" t="n"/>
      <c r="F89" s="29" t="n"/>
    </row>
    <row r="90">
      <c r="B90" s="29" t="n"/>
      <c r="D90" s="29" t="n"/>
      <c r="F90" s="29" t="n"/>
    </row>
    <row r="91">
      <c r="B91" s="29" t="n"/>
      <c r="D91" s="29" t="n"/>
      <c r="F91" s="29" t="n"/>
    </row>
    <row r="92">
      <c r="B92" s="29" t="n"/>
      <c r="D92" s="29" t="n"/>
      <c r="F92" s="29" t="n"/>
    </row>
    <row r="93">
      <c r="B93" s="29" t="n"/>
      <c r="D93" s="29" t="n"/>
      <c r="F93" s="29" t="n"/>
    </row>
    <row r="94">
      <c r="B94" s="29" t="n"/>
      <c r="D94" s="29" t="n"/>
      <c r="F94" s="29" t="n"/>
    </row>
    <row r="95">
      <c r="B95" s="29" t="n"/>
      <c r="D95" s="29" t="n"/>
      <c r="F95" s="29" t="n"/>
    </row>
    <row r="96">
      <c r="B96" s="29" t="n"/>
      <c r="D96" s="29" t="n"/>
      <c r="F96" s="29" t="n"/>
    </row>
    <row r="97">
      <c r="B97" s="29" t="n"/>
      <c r="D97" s="29" t="n"/>
      <c r="F97" s="29" t="n"/>
    </row>
    <row r="98">
      <c r="B98" s="29" t="n"/>
      <c r="D98" s="29" t="n"/>
      <c r="F98" s="29" t="n"/>
    </row>
    <row r="99">
      <c r="B99" s="29" t="n"/>
      <c r="D99" s="29" t="n"/>
      <c r="F99" s="29" t="n"/>
    </row>
    <row r="100">
      <c r="B100" s="29" t="n"/>
      <c r="D100" s="29" t="n"/>
      <c r="F100" s="29" t="n"/>
    </row>
    <row r="101">
      <c r="B101" s="29" t="n"/>
      <c r="D101" s="29" t="n"/>
      <c r="F101" s="29" t="n"/>
    </row>
    <row r="102">
      <c r="B102" s="29" t="n"/>
      <c r="D102" s="29" t="n"/>
      <c r="F102" s="29" t="n"/>
    </row>
    <row r="103">
      <c r="B103" s="33" t="n"/>
      <c r="D103" s="33" t="n"/>
      <c r="F103" s="33" t="n"/>
    </row>
  </sheetData>
  <sheetProtection selectLockedCells="0" selectUnlockedCells="0" sheet="1" objects="0" insertRows="1" insertHyperlinks="1" autoFilter="1" scenarios="0" formatColumns="1" deleteColumns="1" insertColumns="1" pivotTables="1" deleteRows="1" formatCells="1" formatRows="1" sort="1"/>
  <pageMargins left="0.75" right="0.75" top="1" bottom="1"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須貝功一</dc:creator>
  <dcterms:created xsi:type="dcterms:W3CDTF">2015-07-03T01:36:06Z</dcterms:created>
  <dcterms:modified xsi:type="dcterms:W3CDTF">2021-06-21T13:11:52Z</dcterms:modified>
  <cp:lastModifiedBy>natuki</cp:lastModifiedBy>
  <cp:lastPrinted>2019-09-11T06:44:11Z</cp:lastPrinted>
</cp:coreProperties>
</file>